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2"/>
  <sheetViews>
    <sheetView workbookViewId="0"/>
  </sheetViews>
  <sheetData>
    <row r="1">
      <c r="A1" t="str">
        <v>Apple</v>
      </c>
    </row>
    <row r="2">
      <c r="A2">
        <v>146</v>
      </c>
      <c r="B2" t="str">
        <v>LRU Cache</v>
      </c>
      <c r="C2">
        <f>HYPERLINK("https://leetcode.com/problems/lru-cache","lru-cache")</f>
      </c>
      <c r="D2">
        <v>2</v>
      </c>
      <c r="E2">
        <v>45.274611293973</v>
      </c>
      <c r="F2" t="str">
        <v>Hash Table, Linked List, Design, Doubly-Linked List</v>
      </c>
      <c r="G2" t="str">
        <v>thirtyDays, threeMonths, sixMonths</v>
      </c>
    </row>
    <row r="3">
      <c r="A3">
        <v>121</v>
      </c>
      <c r="B3" t="str">
        <v>Best Time to Buy and Sell Stock</v>
      </c>
      <c r="C3">
        <f>HYPERLINK("https://leetcode.com/problems/best-time-to-buy-and-sell-stock","best-time-to-buy-and-sell-stock")</f>
      </c>
      <c r="D3">
        <v>1</v>
      </c>
      <c r="E3">
        <v>55.298341172506</v>
      </c>
      <c r="F3" t="str">
        <v>Array, Dynamic Programming</v>
      </c>
      <c r="G3" t="str">
        <v>thirtyDays, threeMonths, sixMonths</v>
      </c>
    </row>
    <row r="4">
      <c r="A4">
        <v>14</v>
      </c>
      <c r="B4" t="str">
        <v>Longest Common Prefix</v>
      </c>
      <c r="C4">
        <f>HYPERLINK("https://leetcode.com/problems/longest-common-prefix","longest-common-prefix")</f>
      </c>
      <c r="D4">
        <v>1</v>
      </c>
      <c r="E4">
        <v>45.53291136824</v>
      </c>
      <c r="F4" t="str">
        <v>String, Trie</v>
      </c>
      <c r="G4" t="str">
        <v>thirtyDays, threeMonths, sixMonths, moreThanSixMonths, all</v>
      </c>
    </row>
    <row r="5">
      <c r="A5">
        <v>56</v>
      </c>
      <c r="B5" t="str">
        <v>Merge Intervals</v>
      </c>
      <c r="C5">
        <f>HYPERLINK("https://leetcode.com/problems/merge-intervals","merge-intervals")</f>
      </c>
      <c r="D5">
        <v>2</v>
      </c>
      <c r="E5">
        <v>49.444120328417</v>
      </c>
      <c r="F5" t="str">
        <v>Array, Sorting</v>
      </c>
      <c r="G5" t="str">
        <v>thirtyDays, threeMonths, sixMonths, moreThanSixMonths, all</v>
      </c>
    </row>
    <row r="6">
      <c r="A6">
        <v>347</v>
      </c>
      <c r="B6" t="str">
        <v>Top K Frequent Elements</v>
      </c>
      <c r="C6">
        <f>HYPERLINK("https://leetcode.com/problems/top-k-frequent-elements","top-k-frequent-elements")</f>
      </c>
      <c r="D6">
        <v>2</v>
      </c>
      <c r="E6">
        <v>64.607257889234</v>
      </c>
      <c r="F6" t="str">
        <v>Array, Hash Table, Divide and Conquer, Sorting, Heap (Priority Queue), Bucket Sort, Counting, Quickselect</v>
      </c>
      <c r="G6" t="str">
        <v>thirtyDays, threeMonths, sixMonths</v>
      </c>
    </row>
    <row r="7">
      <c r="A7">
        <v>122</v>
      </c>
      <c r="B7" t="str">
        <v>Best Time to Buy and Sell Stock II</v>
      </c>
      <c r="C7">
        <f>HYPERLINK("https://leetcode.com/problems/best-time-to-buy-and-sell-stock-ii","best-time-to-buy-and-sell-stock-ii")</f>
      </c>
      <c r="D7">
        <v>2</v>
      </c>
      <c r="E7">
        <v>69.551901010396</v>
      </c>
      <c r="F7" t="str">
        <v>Array, Dynamic Programming, Greedy</v>
      </c>
      <c r="G7" t="str">
        <v>thirtyDays, threeMonths, sixMonths</v>
      </c>
    </row>
    <row r="8">
      <c r="A8">
        <v>53</v>
      </c>
      <c r="B8" t="str">
        <v>Maximum Subarray</v>
      </c>
      <c r="C8">
        <f>HYPERLINK("https://leetcode.com/problems/maximum-subarray","maximum-subarray")</f>
      </c>
      <c r="D8">
        <v>2</v>
      </c>
      <c r="E8">
        <v>52.128084413744</v>
      </c>
      <c r="F8" t="str">
        <v>Array, Divide and Conquer, Dynamic Programming</v>
      </c>
      <c r="G8" t="str">
        <v>thirtyDays, threeMonths, sixMonths, moreThanSixMonths, all</v>
      </c>
    </row>
    <row r="9">
      <c r="A9">
        <v>200</v>
      </c>
      <c r="B9" t="str">
        <v>Number of Islands</v>
      </c>
      <c r="C9">
        <f>HYPERLINK("https://leetcode.com/problems/number-of-islands","number-of-islands")</f>
      </c>
      <c r="D9">
        <v>2</v>
      </c>
      <c r="E9">
        <v>62.381345557245</v>
      </c>
      <c r="F9" t="str">
        <v>Array, Depth-First Search, Breadth-First Search, Union Find, Matrix</v>
      </c>
      <c r="G9" t="str">
        <v>thirtyDays, threeMonths, sixMonths</v>
      </c>
    </row>
    <row r="10">
      <c r="A10">
        <v>20</v>
      </c>
      <c r="B10" t="str">
        <v>Valid Parentheses</v>
      </c>
      <c r="C10">
        <f>HYPERLINK("https://leetcode.com/problems/valid-parentheses","valid-parentheses")</f>
      </c>
      <c r="D10">
        <v>1</v>
      </c>
      <c r="E10">
        <v>42.366219350024</v>
      </c>
      <c r="F10" t="str">
        <v>String, Stack</v>
      </c>
      <c r="G10" t="str">
        <v>thirtyDays, threeMonths, sixMonths, moreThanSixMonths, all</v>
      </c>
    </row>
    <row r="11">
      <c r="A11">
        <v>215</v>
      </c>
      <c r="B11" t="str">
        <v>Kth Largest Element in an Array</v>
      </c>
      <c r="C11">
        <f>HYPERLINK("https://leetcode.com/problems/kth-largest-element-in-an-array","kth-largest-element-in-an-array")</f>
      </c>
      <c r="D11">
        <v>2</v>
      </c>
      <c r="E11">
        <v>68.019033637454</v>
      </c>
      <c r="F11" t="str">
        <v>Array, Divide and Conquer, Sorting, Heap (Priority Queue), Quickselect</v>
      </c>
      <c r="G11" t="str">
        <v>thirtyDays, threeMonths, sixMonths</v>
      </c>
    </row>
    <row r="12">
      <c r="A12">
        <v>23</v>
      </c>
      <c r="B12" t="str">
        <v>Merge k Sorted Lists</v>
      </c>
      <c r="C12">
        <f>HYPERLINK("https://leetcode.com/problems/merge-k-sorted-lists","merge-k-sorted-lists")</f>
      </c>
      <c r="D12">
        <v>3</v>
      </c>
      <c r="E12">
        <v>56.853140540924</v>
      </c>
      <c r="F12" t="str">
        <v>Linked List, Divide and Conquer, Heap (Priority Queue), Merge Sort</v>
      </c>
      <c r="G12" t="str">
        <v>thirtyDays, threeMonths, sixMonths, moreThanSixMonths, all</v>
      </c>
    </row>
    <row r="13">
      <c r="A13">
        <v>48</v>
      </c>
      <c r="B13" t="str">
        <v>Rotate Image</v>
      </c>
      <c r="C13">
        <f>HYPERLINK("https://leetcode.com/problems/rotate-image","rotate-image")</f>
      </c>
      <c r="D13">
        <v>2</v>
      </c>
      <c r="E13">
        <v>77.956598570906</v>
      </c>
      <c r="F13" t="str">
        <v>Array, Math, Matrix</v>
      </c>
      <c r="G13" t="str">
        <v>thirtyDays, threeMonths, sixMonths, moreThanSixMonths, all</v>
      </c>
    </row>
    <row r="14">
      <c r="A14">
        <v>123</v>
      </c>
      <c r="B14" t="str">
        <v>Best Time to Buy and Sell Stock III</v>
      </c>
      <c r="C14">
        <f>HYPERLINK("https://leetcode.com/problems/best-time-to-buy-and-sell-stock-iii","best-time-to-buy-and-sell-stock-iii")</f>
      </c>
      <c r="D14">
        <v>3</v>
      </c>
      <c r="E14">
        <v>51.21689863442</v>
      </c>
      <c r="F14" t="str">
        <v>Array, Dynamic Programming</v>
      </c>
      <c r="G14" t="str">
        <v>thirtyDays, threeMonths, sixMonths</v>
      </c>
    </row>
    <row r="15">
      <c r="A15">
        <v>188</v>
      </c>
      <c r="B15" t="str">
        <v>Best Time to Buy and Sell Stock IV</v>
      </c>
      <c r="C15">
        <f>HYPERLINK("https://leetcode.com/problems/best-time-to-buy-and-sell-stock-iv","best-time-to-buy-and-sell-stock-iv")</f>
      </c>
      <c r="D15">
        <v>3</v>
      </c>
      <c r="E15">
        <v>47.200532107492</v>
      </c>
      <c r="F15" t="str">
        <v>Array, Dynamic Programming</v>
      </c>
      <c r="G15" t="str">
        <v>thirtyDays, threeMonths, sixMonths</v>
      </c>
    </row>
    <row r="16">
      <c r="A16">
        <v>1</v>
      </c>
      <c r="B16" t="str">
        <v>Two Sum</v>
      </c>
      <c r="C16">
        <f>HYPERLINK("https://leetcode.com/problems/two-sum","two-sum")</f>
      </c>
      <c r="D16">
        <v>1</v>
      </c>
      <c r="E16">
        <v>55.817649773077</v>
      </c>
      <c r="F16" t="str">
        <v>Array, Hash Table</v>
      </c>
      <c r="G16" t="str">
        <v>threeMonths, sixMonths, moreThanSixMonths, all</v>
      </c>
    </row>
    <row r="17">
      <c r="A17">
        <v>1606</v>
      </c>
      <c r="B17" t="str">
        <v>Find Servers That Handled Most Number of Requests</v>
      </c>
      <c r="C17">
        <f>HYPERLINK("https://leetcode.com/problems/find-servers-that-handled-most-number-of-requests","find-servers-that-handled-most-number-of-requests")</f>
      </c>
      <c r="D17">
        <v>3</v>
      </c>
      <c r="E17">
        <v>44.10225921522</v>
      </c>
      <c r="F17" t="str">
        <v>Array, Greedy, Heap (Priority Queue), Ordered Set</v>
      </c>
      <c r="G17" t="str">
        <v>threeMonths, sixMonths</v>
      </c>
    </row>
    <row r="18">
      <c r="A18">
        <v>3522</v>
      </c>
      <c r="B18" t="str">
        <v>Calculate Score After Performing Instructions</v>
      </c>
      <c r="C18">
        <f>HYPERLINK("https://leetcode.com/problems/calculate-score-after-performing-instructions","calculate-score-after-performing-instructions")</f>
      </c>
      <c r="D18">
        <v>2</v>
      </c>
      <c r="E18">
        <v>55.648158398305</v>
      </c>
      <c r="F18" t="str">
        <v>Array, Hash Table, String, Simulation</v>
      </c>
      <c r="G18" t="str">
        <v>threeMonths, sixMonths</v>
      </c>
    </row>
    <row r="19">
      <c r="A19">
        <v>88</v>
      </c>
      <c r="B19" t="str">
        <v>Merge Sorted Array</v>
      </c>
      <c r="C19">
        <f>HYPERLINK("https://leetcode.com/problems/merge-sorted-array","merge-sorted-array")</f>
      </c>
      <c r="D19">
        <v>1</v>
      </c>
      <c r="E19">
        <v>52.974856212934</v>
      </c>
      <c r="F19" t="str">
        <v>Array, Two Pointers, Sorting</v>
      </c>
      <c r="G19" t="str">
        <v>threeMonths, sixMonths, moreThanSixMonths, all</v>
      </c>
    </row>
    <row r="20">
      <c r="A20">
        <v>36</v>
      </c>
      <c r="B20" t="str">
        <v>Valid Sudoku</v>
      </c>
      <c r="C20">
        <f>HYPERLINK("https://leetcode.com/problems/valid-sudoku","valid-sudoku")</f>
      </c>
      <c r="D20">
        <v>2</v>
      </c>
      <c r="E20">
        <v>62.32415019864</v>
      </c>
      <c r="F20" t="str">
        <v>Array, Hash Table, Matrix</v>
      </c>
      <c r="G20" t="str">
        <v>threeMonths, sixMonths, moreThanSixMonths, all</v>
      </c>
    </row>
    <row r="21">
      <c r="A21">
        <v>155</v>
      </c>
      <c r="B21" t="str">
        <v>Min Stack</v>
      </c>
      <c r="C21">
        <f>HYPERLINK("https://leetcode.com/problems/min-stack","min-stack")</f>
      </c>
      <c r="D21">
        <v>2</v>
      </c>
      <c r="E21">
        <v>56.498788886851</v>
      </c>
      <c r="F21" t="str">
        <v>Stack, Design</v>
      </c>
      <c r="G21" t="str">
        <v>threeMonths, sixMonths</v>
      </c>
    </row>
    <row r="22">
      <c r="A22">
        <v>54</v>
      </c>
      <c r="B22" t="str">
        <v>Spiral Matrix</v>
      </c>
      <c r="C22">
        <f>HYPERLINK("https://leetcode.com/problems/spiral-matrix","spiral-matrix")</f>
      </c>
      <c r="D22">
        <v>2</v>
      </c>
      <c r="E22">
        <v>54.019105804588</v>
      </c>
      <c r="F22" t="str">
        <v>Array, Matrix, Simulation</v>
      </c>
      <c r="G22" t="str">
        <v>threeMonths, sixMonths, moreThanSixMonths, all</v>
      </c>
    </row>
    <row r="23">
      <c r="A23">
        <v>42</v>
      </c>
      <c r="B23" t="str">
        <v>Trapping Rain Water</v>
      </c>
      <c r="C23">
        <f>HYPERLINK("https://leetcode.com/problems/trapping-rain-water","trapping-rain-water")</f>
      </c>
      <c r="D23">
        <v>3</v>
      </c>
      <c r="E23">
        <v>65.170057118318</v>
      </c>
      <c r="F23" t="str">
        <v>Array, Two Pointers, Dynamic Programming, Stack, Monotonic Stack</v>
      </c>
      <c r="G23" t="str">
        <v>threeMonths, sixMonths, moreThanSixMonths, all</v>
      </c>
    </row>
    <row r="24">
      <c r="A24">
        <v>34</v>
      </c>
      <c r="B24" t="str">
        <v>Find First and Last Position of Element in Sorted Array</v>
      </c>
      <c r="C24">
        <f>HYPERLINK("https://leetcode.com/problems/find-first-and-last-position-of-element-in-sorted-array","find-first-and-last-position-of-element-in-sorted-array")</f>
      </c>
      <c r="D24">
        <v>2</v>
      </c>
      <c r="E24">
        <v>46.892378830929</v>
      </c>
      <c r="F24" t="str">
        <v>Array, Binary Search</v>
      </c>
      <c r="G24" t="str">
        <v>threeMonths, sixMonths, moreThanSixMonths, all</v>
      </c>
    </row>
    <row r="25">
      <c r="A25">
        <v>714</v>
      </c>
      <c r="B25" t="str">
        <v>Best Time to Buy and Sell Stock with Transaction Fee</v>
      </c>
      <c r="C25">
        <f>HYPERLINK("https://leetcode.com/problems/best-time-to-buy-and-sell-stock-with-transaction-fee","best-time-to-buy-and-sell-stock-with-transaction-fee")</f>
      </c>
      <c r="D25">
        <v>2</v>
      </c>
      <c r="E25">
        <v>70.563488514455</v>
      </c>
      <c r="F25" t="str">
        <v>Array, Dynamic Programming, Greedy</v>
      </c>
      <c r="G25" t="str">
        <v>threeMonths, sixMonths</v>
      </c>
    </row>
    <row r="26">
      <c r="A26">
        <v>362</v>
      </c>
      <c r="B26" t="str">
        <v>Design Hit Counter</v>
      </c>
      <c r="C26">
        <f>HYPERLINK("https://code.nextleet.com/problem/binary-tree-upside-down","design-hit-counter")</f>
      </c>
      <c r="D26">
        <v>2</v>
      </c>
      <c r="E26">
        <v>69.212364310235</v>
      </c>
      <c r="F26" t="str">
        <v>Array, Binary Search, Design, Queue, Data Stream</v>
      </c>
      <c r="G26" t="str">
        <v>threeMonths, sixMonths</v>
      </c>
    </row>
    <row r="27">
      <c r="A27">
        <v>125</v>
      </c>
      <c r="B27" t="str">
        <v>Valid Palindrome</v>
      </c>
      <c r="C27">
        <f>HYPERLINK("https://leetcode.com/problems/valid-palindrome","valid-palindrome")</f>
      </c>
      <c r="D27">
        <v>1</v>
      </c>
      <c r="E27">
        <v>51.027966007948</v>
      </c>
      <c r="F27" t="str">
        <v>Two Pointers, String</v>
      </c>
      <c r="G27" t="str">
        <v>threeMonths, sixMonths</v>
      </c>
    </row>
    <row r="28">
      <c r="A28">
        <v>57</v>
      </c>
      <c r="B28" t="str">
        <v>Insert Interval</v>
      </c>
      <c r="C28">
        <f>HYPERLINK("https://leetcode.com/problems/insert-interval","insert-interval")</f>
      </c>
      <c r="D28">
        <v>2</v>
      </c>
      <c r="E28">
        <v>43.52383880757</v>
      </c>
      <c r="F28" t="str">
        <v>Array</v>
      </c>
      <c r="G28" t="str">
        <v>threeMonths, sixMonths, moreThanSixMonths, all</v>
      </c>
    </row>
    <row r="29">
      <c r="A29">
        <v>5</v>
      </c>
      <c r="B29" t="str">
        <v>Longest Palindromic Substring</v>
      </c>
      <c r="C29">
        <f>HYPERLINK("https://leetcode.com/problems/longest-palindromic-substring","longest-palindromic-substring")</f>
      </c>
      <c r="D29">
        <v>2</v>
      </c>
      <c r="E29">
        <v>35.894053886834</v>
      </c>
      <c r="F29" t="str">
        <v>Two Pointers, String, Dynamic Programming</v>
      </c>
      <c r="G29" t="str">
        <v>threeMonths, sixMonths, moreThanSixMonths, all</v>
      </c>
    </row>
    <row r="30">
      <c r="A30">
        <v>17</v>
      </c>
      <c r="B30" t="str">
        <v>Letter Combinations of a Phone Number</v>
      </c>
      <c r="C30">
        <f>HYPERLINK("https://leetcode.com/problems/letter-combinations-of-a-phone-number","letter-combinations-of-a-phone-number")</f>
      </c>
      <c r="D30">
        <v>2</v>
      </c>
      <c r="E30">
        <v>63.92037751384</v>
      </c>
      <c r="F30" t="str">
        <v>Hash Table, String, Backtracking</v>
      </c>
      <c r="G30" t="str">
        <v>threeMonths, sixMonths, moreThanSixMonths, all</v>
      </c>
    </row>
    <row r="31">
      <c r="A31">
        <v>7</v>
      </c>
      <c r="B31" t="str">
        <v>Reverse Integer</v>
      </c>
      <c r="C31">
        <f>HYPERLINK("https://leetcode.com/problems/reverse-integer","reverse-integer")</f>
      </c>
      <c r="D31">
        <v>2</v>
      </c>
      <c r="E31">
        <v>30.346723457012</v>
      </c>
      <c r="F31" t="str">
        <v>Math</v>
      </c>
      <c r="G31" t="str">
        <v>threeMonths, sixMonths, moreThanSixMonths, all</v>
      </c>
    </row>
    <row r="32">
      <c r="A32">
        <v>981</v>
      </c>
      <c r="B32" t="str">
        <v>Time Based Key-Value Store</v>
      </c>
      <c r="C32">
        <f>HYPERLINK("https://leetcode.com/problems/time-based-key-value-store","time-based-key-value-store")</f>
      </c>
      <c r="D32">
        <v>2</v>
      </c>
      <c r="E32">
        <v>49.374184685931</v>
      </c>
      <c r="F32" t="str">
        <v>Hash Table, String, Binary Search, Design</v>
      </c>
      <c r="G32" t="str">
        <v>threeMonths, sixMonths</v>
      </c>
    </row>
    <row r="33">
      <c r="A33">
        <v>658</v>
      </c>
      <c r="B33" t="str">
        <v>Find K Closest Elements</v>
      </c>
      <c r="C33">
        <f>HYPERLINK("https://leetcode.com/problems/find-k-closest-elements","find-k-closest-elements")</f>
      </c>
      <c r="D33">
        <v>2</v>
      </c>
      <c r="E33">
        <v>48.69754992283</v>
      </c>
      <c r="F33" t="str">
        <v>Array, Two Pointers, Binary Search, Sliding Window, Sorting, Heap (Priority Queue)</v>
      </c>
      <c r="G33" t="str">
        <v>threeMonths, sixMonths</v>
      </c>
    </row>
    <row r="34">
      <c r="A34">
        <v>21</v>
      </c>
      <c r="B34" t="str">
        <v>Merge Two Sorted Lists</v>
      </c>
      <c r="C34">
        <f>HYPERLINK("https://leetcode.com/problems/merge-two-sorted-lists","merge-two-sorted-lists")</f>
      </c>
      <c r="D34">
        <v>1</v>
      </c>
      <c r="E34">
        <v>66.88303061861</v>
      </c>
      <c r="F34" t="str">
        <v>Linked List, Recursion</v>
      </c>
      <c r="G34" t="str">
        <v>threeMonths, sixMonths, moreThanSixMonths, all</v>
      </c>
    </row>
    <row r="35">
      <c r="A35">
        <v>46</v>
      </c>
      <c r="B35" t="str">
        <v>Permutations</v>
      </c>
      <c r="C35">
        <f>HYPERLINK("https://leetcode.com/problems/permutations","permutations")</f>
      </c>
      <c r="D35">
        <v>2</v>
      </c>
      <c r="E35">
        <v>80.701253490844</v>
      </c>
      <c r="F35" t="str">
        <v>Array, Backtracking</v>
      </c>
      <c r="G35" t="str">
        <v>threeMonths, sixMonths, moreThanSixMonths, all</v>
      </c>
    </row>
    <row r="36">
      <c r="A36">
        <v>28</v>
      </c>
      <c r="B36" t="str">
        <v>Find the Index of the First Occurrence in a String</v>
      </c>
      <c r="C36">
        <f>HYPERLINK("https://leetcode.com/problems/find-the-index-of-the-first-occurrence-in-a-string","find-the-index-of-the-first-occurrence-in-a-string")</f>
      </c>
      <c r="D36">
        <v>1</v>
      </c>
      <c r="E36">
        <v>45.016135175217</v>
      </c>
      <c r="F36" t="str">
        <v>Two Pointers, String, String Matching</v>
      </c>
      <c r="G36" t="str">
        <v>threeMonths, sixMonths, moreThanSixMonths, all</v>
      </c>
    </row>
    <row r="37">
      <c r="A37">
        <v>283</v>
      </c>
      <c r="B37" t="str">
        <v>Move Zeroes</v>
      </c>
      <c r="C37">
        <f>HYPERLINK("https://leetcode.com/problems/move-zeroes","move-zeroes")</f>
      </c>
      <c r="D37">
        <v>1</v>
      </c>
      <c r="E37">
        <v>62.827879547633</v>
      </c>
      <c r="F37" t="str">
        <v>Array, Two Pointers</v>
      </c>
      <c r="G37" t="str">
        <v>threeMonths, sixMonths</v>
      </c>
    </row>
    <row r="38">
      <c r="A38">
        <v>210</v>
      </c>
      <c r="B38" t="str">
        <v>Course Schedule II</v>
      </c>
      <c r="C38">
        <f>HYPERLINK("https://leetcode.com/problems/course-schedule-ii","course-schedule-ii")</f>
      </c>
      <c r="D38">
        <v>2</v>
      </c>
      <c r="E38">
        <v>53.490167478606</v>
      </c>
      <c r="F38" t="str">
        <v>Depth-First Search, Breadth-First Search, Graph, Topological Sort</v>
      </c>
      <c r="G38" t="str">
        <v>threeMonths, sixMonths</v>
      </c>
    </row>
    <row r="39">
      <c r="A39">
        <v>348</v>
      </c>
      <c r="B39" t="str">
        <v>Design Tic-Tac-Toe</v>
      </c>
      <c r="C39">
        <f>HYPERLINK("https://code.nextleet.com/problem/binary-tree-upside-down","design-tic-tac-toe")</f>
      </c>
      <c r="D39">
        <v>2</v>
      </c>
      <c r="E39">
        <v>58.602356887998</v>
      </c>
      <c r="F39" t="str">
        <v>Array, Hash Table, Design, Matrix, Simulation</v>
      </c>
      <c r="G39" t="str">
        <v>threeMonths, sixMonths</v>
      </c>
    </row>
    <row r="40">
      <c r="A40">
        <v>297</v>
      </c>
      <c r="B40" t="str">
        <v>Serialize and Deserialize Binary Tree</v>
      </c>
      <c r="C40">
        <f>HYPERLINK("https://leetcode.com/problems/serialize-and-deserialize-binary-tree","serialize-and-deserialize-binary-tree")</f>
      </c>
      <c r="D40">
        <v>3</v>
      </c>
      <c r="E40">
        <v>59.028336474564</v>
      </c>
      <c r="F40" t="str">
        <v>String, Tree, Depth-First Search, Breadth-First Search, Design, Binary Tree</v>
      </c>
      <c r="G40" t="str">
        <v>threeMonths, sixMonths</v>
      </c>
    </row>
    <row r="41">
      <c r="A41">
        <v>206</v>
      </c>
      <c r="B41" t="str">
        <v>Reverse Linked List</v>
      </c>
      <c r="C41">
        <f>HYPERLINK("https://leetcode.com/problems/reverse-linked-list","reverse-linked-list")</f>
      </c>
      <c r="D41">
        <v>1</v>
      </c>
      <c r="E41">
        <v>79.252143305903</v>
      </c>
      <c r="F41" t="str">
        <v>Linked List, Recursion</v>
      </c>
      <c r="G41" t="str">
        <v>threeMonths, sixMonths</v>
      </c>
    </row>
    <row r="42">
      <c r="A42">
        <v>855</v>
      </c>
      <c r="B42" t="str">
        <v>Exam Room</v>
      </c>
      <c r="C42">
        <f>HYPERLINK("https://leetcode.com/problems/exam-room","exam-room")</f>
      </c>
      <c r="D42">
        <v>2</v>
      </c>
      <c r="E42">
        <v>42.882360673799</v>
      </c>
      <c r="F42" t="str">
        <v>Design, Heap (Priority Queue), Ordered Set</v>
      </c>
      <c r="G42" t="str">
        <v>threeMonths, sixMonths</v>
      </c>
    </row>
    <row r="43">
      <c r="A43">
        <v>733</v>
      </c>
      <c r="B43" t="str">
        <v>Flood Fill</v>
      </c>
      <c r="C43">
        <f>HYPERLINK("https://leetcode.com/problems/flood-fill","flood-fill")</f>
      </c>
      <c r="D43">
        <v>1</v>
      </c>
      <c r="E43">
        <v>66.542428102911</v>
      </c>
      <c r="F43" t="str">
        <v>Array, Depth-First Search, Breadth-First Search, Matrix</v>
      </c>
      <c r="G43" t="str">
        <v>threeMonths, sixMonths</v>
      </c>
    </row>
    <row r="44">
      <c r="A44">
        <v>622</v>
      </c>
      <c r="B44" t="str">
        <v>Design Circular Queue</v>
      </c>
      <c r="C44">
        <f>HYPERLINK("https://leetcode.com/problems/design-circular-queue","design-circular-queue")</f>
      </c>
      <c r="D44">
        <v>2</v>
      </c>
      <c r="E44">
        <v>52.69382868826</v>
      </c>
      <c r="F44" t="str">
        <v>Array, Linked List, Design, Queue</v>
      </c>
      <c r="G44" t="str">
        <v>threeMonths, sixMonths</v>
      </c>
    </row>
    <row r="45">
      <c r="A45">
        <v>621</v>
      </c>
      <c r="B45" t="str">
        <v>Task Scheduler</v>
      </c>
      <c r="C45">
        <f>HYPERLINK("https://leetcode.com/problems/task-scheduler","task-scheduler")</f>
      </c>
      <c r="D45">
        <v>2</v>
      </c>
      <c r="E45">
        <v>61.592486115351</v>
      </c>
      <c r="F45" t="str">
        <v>Array, Hash Table, Greedy, Sorting, Heap (Priority Queue), Counting</v>
      </c>
      <c r="G45" t="str">
        <v>threeMonths, sixMonths</v>
      </c>
    </row>
    <row r="46">
      <c r="A46">
        <v>151</v>
      </c>
      <c r="B46" t="str">
        <v>Reverse Words in a String</v>
      </c>
      <c r="C46">
        <f>HYPERLINK("https://leetcode.com/problems/reverse-words-in-a-string","reverse-words-in-a-string")</f>
      </c>
      <c r="D46">
        <v>2</v>
      </c>
      <c r="E46">
        <v>52.057860597009</v>
      </c>
      <c r="F46" t="str">
        <v>Two Pointers, String</v>
      </c>
      <c r="G46" t="str">
        <v>threeMonths, sixMonths</v>
      </c>
    </row>
    <row r="47">
      <c r="A47">
        <v>341</v>
      </c>
      <c r="B47" t="str">
        <v>Flatten Nested List Iterator</v>
      </c>
      <c r="C47">
        <f>HYPERLINK("https://leetcode.com/problems/flatten-nested-list-iterator","flatten-nested-list-iterator")</f>
      </c>
      <c r="D47">
        <v>2</v>
      </c>
      <c r="E47">
        <v>65.246026399019</v>
      </c>
      <c r="F47" t="str">
        <v>Stack, Tree, Depth-First Search, Design, Queue, Iterator</v>
      </c>
      <c r="G47" t="str">
        <v>threeMonths, sixMonths</v>
      </c>
    </row>
    <row r="48">
      <c r="A48">
        <v>443</v>
      </c>
      <c r="B48" t="str">
        <v>String Compression</v>
      </c>
      <c r="C48">
        <f>HYPERLINK("https://leetcode.com/problems/string-compression","string-compression")</f>
      </c>
      <c r="D48">
        <v>2</v>
      </c>
      <c r="E48">
        <v>58.144707079996</v>
      </c>
      <c r="F48" t="str">
        <v>Two Pointers, String</v>
      </c>
      <c r="G48" t="str">
        <v>threeMonths, sixMonths</v>
      </c>
    </row>
    <row r="49">
      <c r="A49">
        <v>127</v>
      </c>
      <c r="B49" t="str">
        <v>Word Ladder</v>
      </c>
      <c r="C49">
        <f>HYPERLINK("https://leetcode.com/problems/word-ladder","word-ladder")</f>
      </c>
      <c r="D49">
        <v>3</v>
      </c>
      <c r="E49">
        <v>42.899962252027</v>
      </c>
      <c r="F49" t="str">
        <v>Hash Table, String, Breadth-First Search</v>
      </c>
      <c r="G49" t="str">
        <v>threeMonths, sixMonths</v>
      </c>
    </row>
    <row r="50">
      <c r="A50">
        <v>202</v>
      </c>
      <c r="B50" t="str">
        <v>Happy Number</v>
      </c>
      <c r="C50">
        <f>HYPERLINK("https://leetcode.com/problems/happy-number","happy-number")</f>
      </c>
      <c r="D50">
        <v>1</v>
      </c>
      <c r="E50">
        <v>58.11301956721</v>
      </c>
      <c r="F50" t="str">
        <v>Hash Table, Math, Two Pointers</v>
      </c>
      <c r="G50" t="str">
        <v>threeMonths, sixMonths</v>
      </c>
    </row>
    <row r="51">
      <c r="A51">
        <v>509</v>
      </c>
      <c r="B51" t="str">
        <v>Fibonacci Number</v>
      </c>
      <c r="C51">
        <f>HYPERLINK("https://leetcode.com/problems/fibonacci-number","fibonacci-number")</f>
      </c>
      <c r="D51">
        <v>1</v>
      </c>
      <c r="E51">
        <v>72.99047325783</v>
      </c>
      <c r="F51" t="str">
        <v>Math, Dynamic Programming, Recursion, Memoization</v>
      </c>
      <c r="G51" t="str">
        <v>threeMonths, sixMonths</v>
      </c>
    </row>
    <row r="52">
      <c r="A52">
        <v>128</v>
      </c>
      <c r="B52" t="str">
        <v>Longest Consecutive Sequence</v>
      </c>
      <c r="C52">
        <f>HYPERLINK("https://leetcode.com/problems/longest-consecutive-sequence","longest-consecutive-sequence")</f>
      </c>
      <c r="D52">
        <v>2</v>
      </c>
      <c r="E52">
        <v>47.03381963319</v>
      </c>
      <c r="F52" t="str">
        <v>Array, Hash Table, Union Find</v>
      </c>
      <c r="G52" t="str">
        <v>threeMonths, sixMonths</v>
      </c>
    </row>
    <row r="53">
      <c r="A53">
        <v>706</v>
      </c>
      <c r="B53" t="str">
        <v>Design HashMap</v>
      </c>
      <c r="C53">
        <f>HYPERLINK("https://leetcode.com/problems/design-hashmap","design-hashmap")</f>
      </c>
      <c r="D53">
        <v>1</v>
      </c>
      <c r="E53">
        <v>65.905585593975</v>
      </c>
      <c r="F53" t="str">
        <v>Array, Hash Table, Linked List, Design, Hash Function</v>
      </c>
      <c r="G53" t="str">
        <v>threeMonths, sixMonths</v>
      </c>
    </row>
    <row r="54">
      <c r="A54">
        <v>253</v>
      </c>
      <c r="B54" t="str">
        <v>Meeting Rooms II</v>
      </c>
      <c r="C54">
        <f>HYPERLINK("https://code.nextleet.com/problem/binary-tree-upside-down","meeting-rooms-ii")</f>
      </c>
      <c r="D54">
        <v>2</v>
      </c>
      <c r="E54">
        <v>52.151461891088</v>
      </c>
      <c r="F54" t="str">
        <v>Array, Two Pointers, Greedy, Sorting, Heap (Priority Queue), Prefix Sum</v>
      </c>
      <c r="G54" t="str">
        <v>threeMonths, sixMonths</v>
      </c>
    </row>
    <row r="55">
      <c r="A55">
        <v>238</v>
      </c>
      <c r="B55" t="str">
        <v>Product of Array Except Self</v>
      </c>
      <c r="C55">
        <f>HYPERLINK("https://leetcode.com/problems/product-of-array-except-self","product-of-array-except-self")</f>
      </c>
      <c r="D55">
        <v>2</v>
      </c>
      <c r="E55">
        <v>67.799269705594</v>
      </c>
      <c r="F55" t="str">
        <v>Array, Prefix Sum</v>
      </c>
      <c r="G55" t="str">
        <v>threeMonths, sixMonths</v>
      </c>
    </row>
    <row r="56">
      <c r="A56">
        <v>207</v>
      </c>
      <c r="B56" t="str">
        <v>Course Schedule</v>
      </c>
      <c r="C56">
        <f>HYPERLINK("https://leetcode.com/problems/course-schedule","course-schedule")</f>
      </c>
      <c r="D56">
        <v>2</v>
      </c>
      <c r="E56">
        <v>49.300504013631</v>
      </c>
      <c r="F56" t="str">
        <v>Depth-First Search, Breadth-First Search, Graph, Topological Sort</v>
      </c>
      <c r="G56" t="str">
        <v>threeMonths, sixMonths</v>
      </c>
    </row>
    <row r="57">
      <c r="A57">
        <v>236</v>
      </c>
      <c r="B57" t="str">
        <v>Lowest Common Ancestor of a Binary Tree</v>
      </c>
      <c r="C57">
        <f>HYPERLINK("https://leetcode.com/problems/lowest-common-ancestor-of-a-binary-tree","lowest-common-ancestor-of-a-binary-tree")</f>
      </c>
      <c r="D57">
        <v>2</v>
      </c>
      <c r="E57">
        <v>66.850160284557</v>
      </c>
      <c r="F57" t="str">
        <v>Tree, Depth-First Search, Binary Tree</v>
      </c>
      <c r="G57" t="str">
        <v>threeMonths, sixMonths</v>
      </c>
    </row>
    <row r="58">
      <c r="A58">
        <v>49</v>
      </c>
      <c r="B58" t="str">
        <v>Group Anagrams</v>
      </c>
      <c r="C58">
        <f>HYPERLINK("https://leetcode.com/problems/group-anagrams","group-anagrams")</f>
      </c>
      <c r="D58">
        <v>2</v>
      </c>
      <c r="E58">
        <v>70.971357150833</v>
      </c>
      <c r="F58" t="str">
        <v>Array, Hash Table, String, Sorting</v>
      </c>
      <c r="G58" t="str">
        <v>sixMonths, moreThanSixMonths, all</v>
      </c>
    </row>
    <row r="59">
      <c r="A59">
        <v>713</v>
      </c>
      <c r="B59" t="str">
        <v>Subarray Product Less Than K</v>
      </c>
      <c r="C59">
        <f>HYPERLINK("https://leetcode.com/problems/subarray-product-less-than-k","subarray-product-less-than-k")</f>
      </c>
      <c r="D59">
        <v>2</v>
      </c>
      <c r="E59">
        <v>52.887454349326</v>
      </c>
      <c r="F59" t="str">
        <v>Array, Binary Search, Sliding Window, Prefix Sum</v>
      </c>
      <c r="G59" t="str">
        <v>threeMonths, sixMonths</v>
      </c>
    </row>
    <row r="60">
      <c r="A60">
        <v>480</v>
      </c>
      <c r="B60" t="str">
        <v>Sliding Window Median</v>
      </c>
      <c r="C60">
        <f>HYPERLINK("https://leetcode.com/problems/sliding-window-median","sliding-window-median")</f>
      </c>
      <c r="D60">
        <v>3</v>
      </c>
      <c r="E60">
        <v>38.704660757726</v>
      </c>
      <c r="F60" t="str">
        <v>Array, Hash Table, Sliding Window, Heap (Priority Queue)</v>
      </c>
      <c r="G60" t="str">
        <v>threeMonths, sixMonths</v>
      </c>
    </row>
    <row r="61">
      <c r="A61">
        <v>198</v>
      </c>
      <c r="B61" t="str">
        <v>House Robber</v>
      </c>
      <c r="C61">
        <f>HYPERLINK("https://leetcode.com/problems/house-robber","house-robber")</f>
      </c>
      <c r="D61">
        <v>2</v>
      </c>
      <c r="E61">
        <v>52.328756966937</v>
      </c>
      <c r="F61" t="str">
        <v>Array, Dynamic Programming</v>
      </c>
      <c r="G61" t="str">
        <v>threeMonths, sixMonths</v>
      </c>
    </row>
    <row r="62">
      <c r="A62">
        <v>227</v>
      </c>
      <c r="B62" t="str">
        <v>Basic Calculator II</v>
      </c>
      <c r="C62">
        <f>HYPERLINK("https://leetcode.com/problems/basic-calculator-ii","basic-calculator-ii")</f>
      </c>
      <c r="D62">
        <v>2</v>
      </c>
      <c r="E62">
        <v>45.84857391683</v>
      </c>
      <c r="F62" t="str">
        <v>Math, String, Stack</v>
      </c>
      <c r="G62" t="str">
        <v>threeMonths, sixMonths</v>
      </c>
    </row>
    <row r="63">
      <c r="A63">
        <v>359</v>
      </c>
      <c r="B63" t="str">
        <v>Logger Rate Limiter</v>
      </c>
      <c r="C63">
        <f>HYPERLINK("https://code.nextleet.com/problem/binary-tree-upside-down","logger-rate-limiter")</f>
      </c>
      <c r="D63">
        <v>1</v>
      </c>
      <c r="E63">
        <v>76.617182538356</v>
      </c>
      <c r="F63" t="str">
        <v>Hash Table, Design, Data Stream</v>
      </c>
      <c r="G63" t="str">
        <v>threeMonths, sixMonths</v>
      </c>
    </row>
    <row r="64">
      <c r="A64">
        <v>3</v>
      </c>
      <c r="B64" t="str">
        <v>Longest Substring Without Repeating Characters</v>
      </c>
      <c r="C64">
        <f>HYPERLINK("https://leetcode.com/problems/longest-substring-without-repeating-characters","longest-substring-without-repeating-characters")</f>
      </c>
      <c r="D64">
        <v>2</v>
      </c>
      <c r="E64">
        <v>36.988841636172</v>
      </c>
      <c r="F64" t="str">
        <v>Hash Table, String, Sliding Window</v>
      </c>
      <c r="G64" t="str">
        <v>sixMonths, moreThanSixMonths, all</v>
      </c>
    </row>
    <row r="65">
      <c r="A65">
        <v>268</v>
      </c>
      <c r="B65" t="str">
        <v>Missing Number</v>
      </c>
      <c r="C65">
        <f>HYPERLINK("https://leetcode.com/problems/missing-number","missing-number")</f>
      </c>
      <c r="D65">
        <v>1</v>
      </c>
      <c r="E65">
        <v>70.130342425779</v>
      </c>
      <c r="F65" t="str">
        <v>Array, Hash Table, Math, Binary Search, Bit Manipulation, Sorting</v>
      </c>
      <c r="G65" t="str">
        <v>threeMonths, sixMonths</v>
      </c>
    </row>
    <row r="66">
      <c r="A66">
        <v>15</v>
      </c>
      <c r="B66" t="str">
        <v>3Sum</v>
      </c>
      <c r="C66">
        <f>HYPERLINK("https://leetcode.com/problems/3sum","3sum")</f>
      </c>
      <c r="D66">
        <v>2</v>
      </c>
      <c r="E66">
        <v>37.12321791317</v>
      </c>
      <c r="F66" t="str">
        <v>Array, Two Pointers, Sorting</v>
      </c>
      <c r="G66" t="str">
        <v>sixMonths, moreThanSixMonths, all</v>
      </c>
    </row>
    <row r="67">
      <c r="A67">
        <v>22</v>
      </c>
      <c r="B67" t="str">
        <v>Generate Parentheses</v>
      </c>
      <c r="C67">
        <f>HYPERLINK("https://leetcode.com/problems/generate-parentheses","generate-parentheses")</f>
      </c>
      <c r="D67">
        <v>2</v>
      </c>
      <c r="E67">
        <v>77.185665600938</v>
      </c>
      <c r="F67" t="str">
        <v>String, Dynamic Programming, Backtracking</v>
      </c>
      <c r="G67" t="str">
        <v>sixMonths, moreThanSixMonths, all</v>
      </c>
    </row>
    <row r="68">
      <c r="A68">
        <v>13</v>
      </c>
      <c r="B68" t="str">
        <v>Roman to Integer</v>
      </c>
      <c r="C68">
        <f>HYPERLINK("https://leetcode.com/problems/roman-to-integer","roman-to-integer")</f>
      </c>
      <c r="D68">
        <v>1</v>
      </c>
      <c r="E68">
        <v>64.914882008707</v>
      </c>
      <c r="F68" t="str">
        <v>Hash Table, Math, String</v>
      </c>
      <c r="G68" t="str">
        <v>sixMonths, moreThanSixMonths, all</v>
      </c>
    </row>
    <row r="69">
      <c r="A69">
        <v>33</v>
      </c>
      <c r="B69" t="str">
        <v>Search in Rotated Sorted Array</v>
      </c>
      <c r="C69">
        <f>HYPERLINK("https://leetcode.com/problems/search-in-rotated-sorted-array","search-in-rotated-sorted-array")</f>
      </c>
      <c r="D69">
        <v>2</v>
      </c>
      <c r="E69">
        <v>42.888360741278</v>
      </c>
      <c r="F69" t="str">
        <v>Array, Binary Search</v>
      </c>
      <c r="G69" t="str">
        <v>sixMonths, moreThanSixMonths, all</v>
      </c>
    </row>
    <row r="70">
      <c r="A70">
        <v>2</v>
      </c>
      <c r="B70" t="str">
        <v>Add Two Numbers</v>
      </c>
      <c r="C70">
        <f>HYPERLINK("https://leetcode.com/problems/add-two-numbers","add-two-numbers")</f>
      </c>
      <c r="D70">
        <v>2</v>
      </c>
      <c r="E70">
        <v>46.28563264346</v>
      </c>
      <c r="F70" t="str">
        <v>Linked List, Math, Recursion</v>
      </c>
      <c r="G70" t="str">
        <v>sixMonths, moreThanSixMonths, all</v>
      </c>
    </row>
    <row r="71">
      <c r="A71">
        <v>26</v>
      </c>
      <c r="B71" t="str">
        <v>Remove Duplicates from Sorted Array</v>
      </c>
      <c r="C71">
        <f>HYPERLINK("https://leetcode.com/problems/remove-duplicates-from-sorted-array","remove-duplicates-from-sorted-array")</f>
      </c>
      <c r="D71">
        <v>1</v>
      </c>
      <c r="E71">
        <v>60.423012440414</v>
      </c>
      <c r="F71" t="str">
        <v>Array, Two Pointers</v>
      </c>
      <c r="G71" t="str">
        <v>sixMonths, moreThanSixMonths, all</v>
      </c>
    </row>
    <row r="72">
      <c r="A72">
        <v>8</v>
      </c>
      <c r="B72" t="str">
        <v>String to Integer (atoi)</v>
      </c>
      <c r="C72">
        <f>HYPERLINK("https://leetcode.com/problems/string-to-integer-atoi","string-to-integer-atoi")</f>
      </c>
      <c r="D72">
        <v>2</v>
      </c>
      <c r="E72">
        <v>19.275387343041</v>
      </c>
      <c r="F72" t="str">
        <v>String</v>
      </c>
      <c r="G72" t="str">
        <v>sixMonths, moreThanSixMonths, all</v>
      </c>
    </row>
    <row r="73">
      <c r="A73">
        <v>139</v>
      </c>
      <c r="B73" t="str">
        <v>Word Break</v>
      </c>
      <c r="C73">
        <f>HYPERLINK("https://leetcode.com/problems/word-break","word-break")</f>
      </c>
      <c r="D73">
        <v>2</v>
      </c>
      <c r="E73">
        <v>48.301612951839</v>
      </c>
      <c r="F73" t="str">
        <v>Array, Hash Table, String, Dynamic Programming, Trie, Memoization</v>
      </c>
      <c r="G73" t="str">
        <v>sixMonths</v>
      </c>
    </row>
    <row r="74">
      <c r="A74">
        <v>10</v>
      </c>
      <c r="B74" t="str">
        <v>Regular Expression Matching</v>
      </c>
      <c r="C74">
        <f>HYPERLINK("https://leetcode.com/problems/regular-expression-matching","regular-expression-matching")</f>
      </c>
      <c r="D74">
        <v>3</v>
      </c>
      <c r="E74">
        <v>29.312153098375</v>
      </c>
      <c r="F74" t="str">
        <v>String, Dynamic Programming, Recursion</v>
      </c>
      <c r="G74" t="str">
        <v>sixMonths, moreThanSixMonths, all</v>
      </c>
    </row>
    <row r="75">
      <c r="A75">
        <v>387</v>
      </c>
      <c r="B75" t="str">
        <v>First Unique Character in a String</v>
      </c>
      <c r="C75">
        <f>HYPERLINK("https://leetcode.com/problems/first-unique-character-in-a-string","first-unique-character-in-a-string")</f>
      </c>
      <c r="D75">
        <v>1</v>
      </c>
      <c r="E75">
        <v>63.731046655281</v>
      </c>
      <c r="F75" t="str">
        <v>Hash Table, String, Queue, Counting</v>
      </c>
      <c r="G75" t="str">
        <v>sixMonths</v>
      </c>
    </row>
    <row r="76">
      <c r="A76">
        <v>189</v>
      </c>
      <c r="B76" t="str">
        <v>Rotate Array</v>
      </c>
      <c r="C76">
        <f>HYPERLINK("https://leetcode.com/problems/rotate-array","rotate-array")</f>
      </c>
      <c r="D76">
        <v>2</v>
      </c>
      <c r="E76">
        <v>43.071943753872</v>
      </c>
      <c r="F76" t="str">
        <v>Array, Math, Two Pointers</v>
      </c>
      <c r="G76" t="str">
        <v>sixMonths</v>
      </c>
    </row>
    <row r="77">
      <c r="A77">
        <v>560</v>
      </c>
      <c r="B77" t="str">
        <v>Subarray Sum Equals K</v>
      </c>
      <c r="C77">
        <f>HYPERLINK("https://leetcode.com/problems/subarray-sum-equals-k","subarray-sum-equals-k")</f>
      </c>
      <c r="D77">
        <v>2</v>
      </c>
      <c r="E77">
        <v>45.525856297508</v>
      </c>
      <c r="F77" t="str">
        <v>Array, Hash Table, Prefix Sum</v>
      </c>
      <c r="G77" t="str">
        <v>sixMonths</v>
      </c>
    </row>
    <row r="78">
      <c r="A78">
        <v>68</v>
      </c>
      <c r="B78" t="str">
        <v>Text Justification</v>
      </c>
      <c r="C78">
        <f>HYPERLINK("https://leetcode.com/problems/text-justification","text-justification")</f>
      </c>
      <c r="D78">
        <v>3</v>
      </c>
      <c r="E78">
        <v>48.223274914198</v>
      </c>
      <c r="F78" t="str">
        <v>Array, String, Simulation</v>
      </c>
      <c r="G78" t="str">
        <v>sixMonths, moreThanSixMonths, all</v>
      </c>
    </row>
    <row r="79">
      <c r="A79">
        <v>208</v>
      </c>
      <c r="B79" t="str">
        <v>Implement Trie (Prefix Tree)</v>
      </c>
      <c r="C79">
        <f>HYPERLINK("https://leetcode.com/problems/implement-trie-prefix-tree","implement-trie-prefix-tree")</f>
      </c>
      <c r="D79">
        <v>2</v>
      </c>
      <c r="E79">
        <v>67.987825829339</v>
      </c>
      <c r="F79" t="str">
        <v>Hash Table, String, Design, Trie</v>
      </c>
      <c r="G79" t="str">
        <v>sixMonths</v>
      </c>
    </row>
    <row r="80">
      <c r="A80">
        <v>378</v>
      </c>
      <c r="B80" t="str">
        <v>Kth Smallest Element in a Sorted Matrix</v>
      </c>
      <c r="C80">
        <f>HYPERLINK("https://leetcode.com/problems/kth-smallest-element-in-a-sorted-matrix","kth-smallest-element-in-a-sorted-matrix")</f>
      </c>
      <c r="D80">
        <v>2</v>
      </c>
      <c r="E80">
        <v>63.599523094695</v>
      </c>
      <c r="F80" t="str">
        <v>Array, Binary Search, Sorting, Heap (Priority Queue), Matrix</v>
      </c>
      <c r="G80" t="str">
        <v>sixMonths</v>
      </c>
    </row>
    <row r="81">
      <c r="A81">
        <v>100</v>
      </c>
      <c r="B81" t="str">
        <v>Same Tree</v>
      </c>
      <c r="C81">
        <f>HYPERLINK("https://leetcode.com/problems/same-tree","same-tree")</f>
      </c>
      <c r="D81">
        <v>1</v>
      </c>
      <c r="E81">
        <v>65.193278071829</v>
      </c>
      <c r="F81" t="str">
        <v>Tree, Depth-First Search, Breadth-First Search, Binary Tree</v>
      </c>
      <c r="G81" t="str">
        <v>sixMonths, moreThanSixMonths, all</v>
      </c>
    </row>
    <row r="82">
      <c r="A82">
        <v>4</v>
      </c>
      <c r="B82" t="str">
        <v>Median of Two Sorted Arrays</v>
      </c>
      <c r="C82">
        <f>HYPERLINK("https://leetcode.com/problems/median-of-two-sorted-arrays","median-of-two-sorted-arrays")</f>
      </c>
      <c r="D82">
        <v>3</v>
      </c>
      <c r="E82">
        <v>43.890991023247</v>
      </c>
      <c r="F82" t="str">
        <v>Array, Binary Search, Divide and Conquer</v>
      </c>
      <c r="G82" t="str">
        <v>moreThanSixMonths, all</v>
      </c>
    </row>
    <row r="83">
      <c r="A83">
        <v>9</v>
      </c>
      <c r="B83" t="str">
        <v>Palindrome Number</v>
      </c>
      <c r="C83">
        <f>HYPERLINK("https://leetcode.com/problems/palindrome-number","palindrome-number")</f>
      </c>
      <c r="D83">
        <v>1</v>
      </c>
      <c r="E83">
        <v>59.261290330523</v>
      </c>
      <c r="F83" t="str">
        <v>Math</v>
      </c>
      <c r="G83" t="str">
        <v>moreThanSixMonths, all</v>
      </c>
    </row>
    <row r="84">
      <c r="A84">
        <v>70</v>
      </c>
      <c r="B84" t="str">
        <v>Climbing Stairs</v>
      </c>
      <c r="C84">
        <f>HYPERLINK("https://leetcode.com/problems/climbing-stairs","climbing-stairs")</f>
      </c>
      <c r="D84">
        <v>1</v>
      </c>
      <c r="E84">
        <v>53.558541435702</v>
      </c>
      <c r="F84" t="str">
        <v>Math, Dynamic Programming, Memoization</v>
      </c>
      <c r="G84" t="str">
        <v>moreThanSixMonths, all</v>
      </c>
    </row>
    <row r="85">
      <c r="A85">
        <v>165</v>
      </c>
      <c r="B85" t="str">
        <v>Compare Version Numbers</v>
      </c>
      <c r="C85">
        <f>HYPERLINK("https://leetcode.com/problems/compare-version-numbers","compare-version-numbers")</f>
      </c>
      <c r="D85">
        <v>2</v>
      </c>
      <c r="E85">
        <v>42.383787271459</v>
      </c>
      <c r="F85" t="str">
        <v>Two Pointers, String</v>
      </c>
      <c r="G85" t="str">
        <v>sixMonths</v>
      </c>
    </row>
    <row r="86">
      <c r="A86">
        <v>295</v>
      </c>
      <c r="B86" t="str">
        <v>Find Median from Data Stream</v>
      </c>
      <c r="C86">
        <f>HYPERLINK("https://leetcode.com/problems/find-median-from-data-stream","find-median-from-data-stream")</f>
      </c>
      <c r="D86">
        <v>3</v>
      </c>
      <c r="E86">
        <v>53.323600638565</v>
      </c>
      <c r="F86" t="str">
        <v>Two Pointers, Design, Sorting, Heap (Priority Queue), Data Stream</v>
      </c>
      <c r="G86" t="str">
        <v>sixMonths</v>
      </c>
    </row>
    <row r="87">
      <c r="A87">
        <v>160</v>
      </c>
      <c r="B87" t="str">
        <v>Intersection of Two Linked Lists</v>
      </c>
      <c r="C87">
        <f>HYPERLINK("https://leetcode.com/problems/intersection-of-two-linked-lists","intersection-of-two-linked-lists")</f>
      </c>
      <c r="D87">
        <v>1</v>
      </c>
      <c r="E87">
        <v>61.215794750501</v>
      </c>
      <c r="F87" t="str">
        <v>Hash Table, Linked List, Two Pointers</v>
      </c>
      <c r="G87" t="str">
        <v>sixMonths</v>
      </c>
    </row>
    <row r="88">
      <c r="A88">
        <v>273</v>
      </c>
      <c r="B88" t="str">
        <v>Integer to English Words</v>
      </c>
      <c r="C88">
        <f>HYPERLINK("https://leetcode.com/problems/integer-to-english-words","integer-to-english-words")</f>
      </c>
      <c r="D88">
        <v>3</v>
      </c>
      <c r="E88">
        <v>34.370227878443</v>
      </c>
      <c r="F88" t="str">
        <v>Math, String, Recursion</v>
      </c>
      <c r="G88" t="str">
        <v>sixMonths</v>
      </c>
    </row>
    <row r="89">
      <c r="A89">
        <v>394</v>
      </c>
      <c r="B89" t="str">
        <v>Decode String</v>
      </c>
      <c r="C89">
        <f>HYPERLINK("https://leetcode.com/problems/decode-string","decode-string")</f>
      </c>
      <c r="D89">
        <v>2</v>
      </c>
      <c r="E89">
        <v>61.189588995709</v>
      </c>
      <c r="F89" t="str">
        <v>String, Stack, Recursion</v>
      </c>
      <c r="G89" t="str">
        <v>sixMonths</v>
      </c>
    </row>
    <row r="90">
      <c r="A90">
        <v>1041</v>
      </c>
      <c r="B90" t="str">
        <v>Robot Bounded In Circle</v>
      </c>
      <c r="C90">
        <f>HYPERLINK("https://leetcode.com/problems/robot-bounded-in-circle","robot-bounded-in-circle")</f>
      </c>
      <c r="D90">
        <v>2</v>
      </c>
      <c r="E90">
        <v>56.232808984883</v>
      </c>
      <c r="F90" t="str">
        <v>Math, String, Simulation</v>
      </c>
      <c r="G90" t="str">
        <v>sixMonths</v>
      </c>
    </row>
    <row r="91">
      <c r="A91">
        <v>468</v>
      </c>
      <c r="B91" t="str">
        <v>Validate IP Address</v>
      </c>
      <c r="C91">
        <f>HYPERLINK("https://leetcode.com/problems/validate-ip-address","validate-ip-address")</f>
      </c>
      <c r="D91">
        <v>2</v>
      </c>
      <c r="E91">
        <v>27.824060188522</v>
      </c>
      <c r="F91" t="str">
        <v>String</v>
      </c>
      <c r="G91" t="str">
        <v>sixMonths</v>
      </c>
    </row>
    <row r="92">
      <c r="A92">
        <v>11</v>
      </c>
      <c r="B92" t="str">
        <v>Container With Most Water</v>
      </c>
      <c r="C92">
        <f>HYPERLINK("https://leetcode.com/problems/container-with-most-water","container-with-most-water")</f>
      </c>
      <c r="D92">
        <v>2</v>
      </c>
      <c r="E92">
        <v>57.826105884331</v>
      </c>
      <c r="F92" t="str">
        <v>Array, Two Pointers, Greedy</v>
      </c>
      <c r="G92" t="str">
        <v>moreThanSixMonths, all</v>
      </c>
    </row>
    <row r="93">
      <c r="A93">
        <v>69</v>
      </c>
      <c r="B93" t="str">
        <v>Sqrt(x)</v>
      </c>
      <c r="C93">
        <f>HYPERLINK("https://leetcode.com/problems/sqrtx","sqrtx")</f>
      </c>
      <c r="D93">
        <v>1</v>
      </c>
      <c r="E93">
        <v>40.402684937069</v>
      </c>
      <c r="F93" t="str">
        <v>Math, Binary Search</v>
      </c>
      <c r="G93" t="str">
        <v>moreThanSixMonths, all</v>
      </c>
    </row>
    <row r="94">
      <c r="A94">
        <v>19</v>
      </c>
      <c r="B94" t="str">
        <v>Remove Nth Node From End of List</v>
      </c>
      <c r="C94">
        <f>HYPERLINK("https://leetcode.com/problems/remove-nth-node-from-end-of-list","remove-nth-node-from-end-of-list")</f>
      </c>
      <c r="D94">
        <v>2</v>
      </c>
      <c r="E94">
        <v>49.046842269416</v>
      </c>
      <c r="F94" t="str">
        <v>Linked List, Two Pointers</v>
      </c>
      <c r="G94" t="str">
        <v>moreThanSixMonths, all</v>
      </c>
    </row>
    <row r="95">
      <c r="A95">
        <v>27</v>
      </c>
      <c r="B95" t="str">
        <v>Remove Element</v>
      </c>
      <c r="C95">
        <f>HYPERLINK("https://leetcode.com/problems/remove-element","remove-element")</f>
      </c>
      <c r="D95">
        <v>1</v>
      </c>
      <c r="E95">
        <v>60.077565713758</v>
      </c>
      <c r="F95" t="str">
        <v>Array, Two Pointers</v>
      </c>
      <c r="G95" t="str">
        <v>moreThanSixMonths, all</v>
      </c>
    </row>
    <row r="96">
      <c r="A96">
        <v>35</v>
      </c>
      <c r="B96" t="str">
        <v>Search Insert Position</v>
      </c>
      <c r="C96">
        <f>HYPERLINK("https://leetcode.com/problems/search-insert-position","search-insert-position")</f>
      </c>
      <c r="D96">
        <v>1</v>
      </c>
      <c r="E96">
        <v>49.071617300105</v>
      </c>
      <c r="F96" t="str">
        <v>Array, Binary Search</v>
      </c>
      <c r="G96" t="str">
        <v>moreThanSixMonths, all</v>
      </c>
    </row>
    <row r="97">
      <c r="A97">
        <v>67</v>
      </c>
      <c r="B97" t="str">
        <v>Add Binary</v>
      </c>
      <c r="C97">
        <f>HYPERLINK("https://leetcode.com/problems/add-binary","add-binary")</f>
      </c>
      <c r="D97">
        <v>1</v>
      </c>
      <c r="E97">
        <v>55.711560258849</v>
      </c>
      <c r="F97" t="str">
        <v>Math, String, Bit Manipulation, Simulation</v>
      </c>
      <c r="G97" t="str">
        <v>moreThanSixMonths, all</v>
      </c>
    </row>
    <row r="98">
      <c r="A98">
        <v>84</v>
      </c>
      <c r="B98" t="str">
        <v>Largest Rectangle in Histogram</v>
      </c>
      <c r="C98">
        <f>HYPERLINK("https://leetcode.com/problems/largest-rectangle-in-histogram","largest-rectangle-in-histogram")</f>
      </c>
      <c r="D98">
        <v>3</v>
      </c>
      <c r="E98">
        <v>47.469026755735</v>
      </c>
      <c r="F98" t="str">
        <v>Array, Stack, Monotonic Stack</v>
      </c>
      <c r="G98" t="str">
        <v>moreThanSixMonths, all</v>
      </c>
    </row>
    <row r="99">
      <c r="A99">
        <v>31</v>
      </c>
      <c r="B99" t="str">
        <v>Next Permutation</v>
      </c>
      <c r="C99">
        <f>HYPERLINK("https://leetcode.com/problems/next-permutation","next-permutation")</f>
      </c>
      <c r="D99">
        <v>2</v>
      </c>
      <c r="E99">
        <v>43.120068013599</v>
      </c>
      <c r="F99" t="str">
        <v>Array, Two Pointers</v>
      </c>
      <c r="G99" t="str">
        <v>moreThanSixMonths, all</v>
      </c>
    </row>
    <row r="100">
      <c r="A100">
        <v>167</v>
      </c>
      <c r="B100" t="str">
        <v>Two Sum II - Input Array Is Sorted</v>
      </c>
      <c r="C100">
        <f>HYPERLINK("https://leetcode.com/problems/two-sum-ii-input-array-is-sorted","two-sum-ii-input-array-is-sorted")</f>
      </c>
      <c r="D100">
        <v>2</v>
      </c>
      <c r="E100">
        <v>63.441766360256</v>
      </c>
      <c r="F100" t="str">
        <v>Array, Two Pointers, Binary Search</v>
      </c>
      <c r="G100" t="str">
        <v>sixMonths</v>
      </c>
    </row>
    <row r="101">
      <c r="A101">
        <v>344</v>
      </c>
      <c r="B101" t="str">
        <v>Reverse String</v>
      </c>
      <c r="C101">
        <f>HYPERLINK("https://leetcode.com/problems/reverse-string","reverse-string")</f>
      </c>
      <c r="D101">
        <v>1</v>
      </c>
      <c r="E101">
        <v>79.790093487774</v>
      </c>
      <c r="F101" t="str">
        <v>Two Pointers, String</v>
      </c>
      <c r="G101" t="str">
        <v>sixMonths</v>
      </c>
    </row>
    <row r="102">
      <c r="A102">
        <v>2788</v>
      </c>
      <c r="B102" t="str">
        <v>Split Strings by Separator</v>
      </c>
      <c r="C102">
        <f>HYPERLINK("https://leetcode.com/problems/split-strings-by-separator","split-strings-by-separator")</f>
      </c>
      <c r="D102">
        <v>1</v>
      </c>
      <c r="E102">
        <v>74.95359778996</v>
      </c>
      <c r="F102" t="str">
        <v>Array, String</v>
      </c>
      <c r="G102" t="str">
        <v>sixMonths</v>
      </c>
    </row>
    <row r="103">
      <c r="A103">
        <v>874</v>
      </c>
      <c r="B103" t="str">
        <v>Walking Robot Simulation</v>
      </c>
      <c r="C103">
        <f>HYPERLINK("https://leetcode.com/problems/walking-robot-simulation","walking-robot-simulation")</f>
      </c>
      <c r="D103">
        <v>2</v>
      </c>
      <c r="E103">
        <v>58.240783146325</v>
      </c>
      <c r="F103" t="str">
        <v>Array, Hash Table, Simulation</v>
      </c>
      <c r="G103" t="str">
        <v>sixMonths</v>
      </c>
    </row>
    <row r="104">
      <c r="A104">
        <v>787</v>
      </c>
      <c r="B104" t="str">
        <v>Cheapest Flights Within K Stops</v>
      </c>
      <c r="C104">
        <f>HYPERLINK("https://leetcode.com/problems/cheapest-flights-within-k-stops","cheapest-flights-within-k-stops")</f>
      </c>
      <c r="D104">
        <v>2</v>
      </c>
      <c r="E104">
        <v>40.433165474173</v>
      </c>
      <c r="F104" t="str">
        <v>Dynamic Programming, Depth-First Search, Breadth-First Search, Graph, Heap (Priority Queue), Shortest Path</v>
      </c>
      <c r="G104" t="str">
        <v>sixMonths</v>
      </c>
    </row>
    <row r="105">
      <c r="A105">
        <v>543</v>
      </c>
      <c r="B105" t="str">
        <v>Diameter of Binary Tree</v>
      </c>
      <c r="C105">
        <f>HYPERLINK("https://leetcode.com/problems/diameter-of-binary-tree","diameter-of-binary-tree")</f>
      </c>
      <c r="D105">
        <v>1</v>
      </c>
      <c r="E105">
        <v>63.648538613842</v>
      </c>
      <c r="F105" t="str">
        <v>Tree, Depth-First Search, Binary Tree</v>
      </c>
      <c r="G105" t="str">
        <v>sixMonths</v>
      </c>
    </row>
    <row r="106">
      <c r="A106">
        <v>843</v>
      </c>
      <c r="B106" t="str">
        <v>Guess the Word</v>
      </c>
      <c r="C106">
        <f>HYPERLINK("https://leetcode.com/problems/guess-the-word","guess-the-word")</f>
      </c>
      <c r="D106">
        <v>3</v>
      </c>
      <c r="E106">
        <v>37.624648066366</v>
      </c>
      <c r="F106" t="str">
        <v>Array, Math, String, Interactive, Game Theory</v>
      </c>
      <c r="G106" t="str">
        <v>sixMonths</v>
      </c>
    </row>
    <row r="107">
      <c r="A107">
        <v>134</v>
      </c>
      <c r="B107" t="str">
        <v>Gas Station</v>
      </c>
      <c r="C107">
        <f>HYPERLINK("https://leetcode.com/problems/gas-station","gas-station")</f>
      </c>
      <c r="D107">
        <v>2</v>
      </c>
      <c r="E107">
        <v>46.421655002743</v>
      </c>
      <c r="F107" t="str">
        <v>Array, Greedy</v>
      </c>
      <c r="G107" t="str">
        <v>sixMonths</v>
      </c>
    </row>
    <row r="108">
      <c r="A108">
        <v>150</v>
      </c>
      <c r="B108" t="str">
        <v>Evaluate Reverse Polish Notation</v>
      </c>
      <c r="C108">
        <f>HYPERLINK("https://leetcode.com/problems/evaluate-reverse-polish-notation","evaluate-reverse-polish-notation")</f>
      </c>
      <c r="D108">
        <v>2</v>
      </c>
      <c r="E108">
        <v>55.016558711793</v>
      </c>
      <c r="F108" t="str">
        <v>Array, Math, Stack</v>
      </c>
      <c r="G108" t="str">
        <v>sixMonths</v>
      </c>
    </row>
    <row r="109">
      <c r="A109">
        <v>515</v>
      </c>
      <c r="B109" t="str">
        <v>Find Largest Value in Each Tree Row</v>
      </c>
      <c r="C109">
        <f>HYPERLINK("https://leetcode.com/problems/find-largest-value-in-each-tree-row","find-largest-value-in-each-tree-row")</f>
      </c>
      <c r="D109">
        <v>2</v>
      </c>
      <c r="E109">
        <v>66.269464761775</v>
      </c>
      <c r="F109" t="str">
        <v>Tree, Depth-First Search, Breadth-First Search, Binary Tree</v>
      </c>
      <c r="G109" t="str">
        <v>sixMonths</v>
      </c>
    </row>
    <row r="110">
      <c r="A110">
        <v>75</v>
      </c>
      <c r="B110" t="str">
        <v>Sort Colors</v>
      </c>
      <c r="C110">
        <f>HYPERLINK("https://leetcode.com/problems/sort-colors","sort-colors")</f>
      </c>
      <c r="D110">
        <v>2</v>
      </c>
      <c r="E110">
        <v>67.647706799861</v>
      </c>
      <c r="F110" t="str">
        <v>Array, Two Pointers, Sorting</v>
      </c>
      <c r="G110" t="str">
        <v>moreThanSixMonths, all</v>
      </c>
    </row>
    <row r="111">
      <c r="A111">
        <v>55</v>
      </c>
      <c r="B111" t="str">
        <v>Jump Game</v>
      </c>
      <c r="C111">
        <f>HYPERLINK("https://leetcode.com/problems/jump-game","jump-game")</f>
      </c>
      <c r="D111">
        <v>2</v>
      </c>
      <c r="E111">
        <v>39.527630305834</v>
      </c>
      <c r="F111" t="str">
        <v>Array, Dynamic Programming, Greedy</v>
      </c>
      <c r="G111" t="str">
        <v>moreThanSixMonths, all</v>
      </c>
    </row>
    <row r="112">
      <c r="A112">
        <v>101</v>
      </c>
      <c r="B112" t="str">
        <v>Symmetric Tree</v>
      </c>
      <c r="C112">
        <f>HYPERLINK("https://leetcode.com/problems/symmetric-tree","symmetric-tree")</f>
      </c>
      <c r="D112">
        <v>1</v>
      </c>
      <c r="E112">
        <v>59.33083335342</v>
      </c>
      <c r="F112" t="str">
        <v>Tree, Depth-First Search, Breadth-First Search, Binary Tree</v>
      </c>
      <c r="G112" t="str">
        <v>moreThanSixMonths, all</v>
      </c>
    </row>
    <row r="113">
      <c r="A113">
        <v>39</v>
      </c>
      <c r="B113" t="str">
        <v>Combination Sum</v>
      </c>
      <c r="C113">
        <f>HYPERLINK("https://leetcode.com/problems/combination-sum","combination-sum")</f>
      </c>
      <c r="D113">
        <v>2</v>
      </c>
      <c r="E113">
        <v>74.739228723827</v>
      </c>
      <c r="F113" t="str">
        <v>Array, Backtracking</v>
      </c>
      <c r="G113" t="str">
        <v>moreThanSixMonths, all</v>
      </c>
    </row>
    <row r="114">
      <c r="A114">
        <v>18</v>
      </c>
      <c r="B114" t="str">
        <v>4Sum</v>
      </c>
      <c r="C114">
        <f>HYPERLINK("https://leetcode.com/problems/4sum","4sum")</f>
      </c>
      <c r="D114">
        <v>2</v>
      </c>
      <c r="E114">
        <v>38.283054940984</v>
      </c>
      <c r="F114" t="str">
        <v>Array, Two Pointers, Sorting</v>
      </c>
      <c r="G114" t="str">
        <v>moreThanSixMonths, all</v>
      </c>
    </row>
    <row r="115">
      <c r="A115">
        <v>45</v>
      </c>
      <c r="B115" t="str">
        <v>Jump Game II</v>
      </c>
      <c r="C115">
        <f>HYPERLINK("https://leetcode.com/problems/jump-game-ii","jump-game-ii")</f>
      </c>
      <c r="D115">
        <v>2</v>
      </c>
      <c r="E115">
        <v>41.541151881799</v>
      </c>
      <c r="F115" t="str">
        <v>Array, Dynamic Programming, Greedy</v>
      </c>
      <c r="G115" t="str">
        <v>moreThanSixMonths, all</v>
      </c>
    </row>
    <row r="116">
      <c r="A116">
        <v>97</v>
      </c>
      <c r="B116" t="str">
        <v>Interleaving String</v>
      </c>
      <c r="C116">
        <f>HYPERLINK("https://leetcode.com/problems/interleaving-string","interleaving-string")</f>
      </c>
      <c r="D116">
        <v>2</v>
      </c>
      <c r="E116">
        <v>42.217974422907</v>
      </c>
      <c r="F116" t="str">
        <v>String, Dynamic Programming</v>
      </c>
      <c r="G116" t="str">
        <v>moreThanSixMonths, all</v>
      </c>
    </row>
    <row r="117">
      <c r="A117">
        <v>98</v>
      </c>
      <c r="B117" t="str">
        <v>Validate Binary Search Tree</v>
      </c>
      <c r="C117">
        <f>HYPERLINK("https://leetcode.com/problems/validate-binary-search-tree","validate-binary-search-tree")</f>
      </c>
      <c r="D117">
        <v>2</v>
      </c>
      <c r="E117">
        <v>34.415106458903</v>
      </c>
      <c r="F117" t="str">
        <v>Tree, Depth-First Search, Binary Search Tree, Binary Tree</v>
      </c>
      <c r="G117" t="str">
        <v>moreThanSixMonths, all</v>
      </c>
    </row>
    <row r="118">
      <c r="A118">
        <v>66</v>
      </c>
      <c r="B118" t="str">
        <v>Plus One</v>
      </c>
      <c r="C118">
        <f>HYPERLINK("https://leetcode.com/problems/plus-one","plus-one")</f>
      </c>
      <c r="D118">
        <v>1</v>
      </c>
      <c r="E118">
        <v>47.584085214757</v>
      </c>
      <c r="F118" t="str">
        <v>Array, Math</v>
      </c>
      <c r="G118" t="str">
        <v>moreThanSixMonths, all</v>
      </c>
    </row>
    <row r="119">
      <c r="A119">
        <v>41</v>
      </c>
      <c r="B119" t="str">
        <v>First Missing Positive</v>
      </c>
      <c r="C119">
        <f>HYPERLINK("https://leetcode.com/problems/first-missing-positive","first-missing-positive")</f>
      </c>
      <c r="D119">
        <v>3</v>
      </c>
      <c r="E119">
        <v>41.120000177111</v>
      </c>
      <c r="F119" t="str">
        <v>Array, Hash Table</v>
      </c>
      <c r="G119" t="str">
        <v>moreThanSixMonths, all</v>
      </c>
    </row>
    <row r="120">
      <c r="A120">
        <v>50</v>
      </c>
      <c r="B120" t="str">
        <v>Pow(x, n)</v>
      </c>
      <c r="C120">
        <f>HYPERLINK("https://leetcode.com/problems/powx-n","powx-n")</f>
      </c>
      <c r="D120">
        <v>2</v>
      </c>
      <c r="E120">
        <v>37.066147373416</v>
      </c>
      <c r="F120" t="str">
        <v>Math, Recursion</v>
      </c>
      <c r="G120" t="str">
        <v>moreThanSixMonths, all</v>
      </c>
    </row>
    <row r="121">
      <c r="A121">
        <v>232</v>
      </c>
      <c r="B121" t="str">
        <v>Implement Queue using Stacks</v>
      </c>
      <c r="C121">
        <f>HYPERLINK("https://leetcode.com/problems/implement-queue-using-stacks","implement-queue-using-stacks")</f>
      </c>
      <c r="D121">
        <v>1</v>
      </c>
      <c r="E121">
        <v>68.111680318092</v>
      </c>
      <c r="F121" t="str">
        <v>Stack, Design, Queue</v>
      </c>
      <c r="G121" t="str">
        <v>sixMonths</v>
      </c>
    </row>
    <row r="122">
      <c r="A122">
        <v>2591</v>
      </c>
      <c r="B122" t="str">
        <v>Distribute Money to Maximum Children</v>
      </c>
      <c r="C122">
        <f>HYPERLINK("https://leetcode.com/problems/distribute-money-to-maximum-children","distribute-money-to-maximum-children")</f>
      </c>
      <c r="D122">
        <v>1</v>
      </c>
      <c r="E122">
        <v>19.483973608183</v>
      </c>
      <c r="F122" t="str">
        <v>Math, Greedy</v>
      </c>
      <c r="G122" t="str">
        <v>sixMonths</v>
      </c>
    </row>
    <row r="123">
      <c r="A123">
        <v>79</v>
      </c>
      <c r="B123" t="str">
        <v>Word Search</v>
      </c>
      <c r="C123">
        <f>HYPERLINK("https://leetcode.com/problems/word-search","word-search")</f>
      </c>
      <c r="D123">
        <v>2</v>
      </c>
      <c r="E123">
        <v>45.330653638385</v>
      </c>
      <c r="F123" t="str">
        <v>Array, String, Backtracking, Depth-First Search, Matrix</v>
      </c>
      <c r="G123" t="str">
        <v>moreThanSixMonths, all</v>
      </c>
    </row>
    <row r="124">
      <c r="A124">
        <v>118</v>
      </c>
      <c r="B124" t="str">
        <v>Pascal's Triangle</v>
      </c>
      <c r="C124">
        <f>HYPERLINK("https://leetcode.com/problems/pascals-triangle","pascals-triangle")</f>
      </c>
      <c r="D124">
        <v>1</v>
      </c>
      <c r="E124">
        <v>77.060947260564</v>
      </c>
      <c r="F124" t="str">
        <v>Array, Dynamic Programming</v>
      </c>
      <c r="G124" t="str">
        <v>moreThanSixMonths</v>
      </c>
    </row>
    <row r="125">
      <c r="A125">
        <v>29</v>
      </c>
      <c r="B125" t="str">
        <v>Divide Two Integers</v>
      </c>
      <c r="C125">
        <f>HYPERLINK("https://leetcode.com/problems/divide-two-integers","divide-two-integers")</f>
      </c>
      <c r="D125">
        <v>2</v>
      </c>
      <c r="E125">
        <v>18.420983995235</v>
      </c>
      <c r="F125" t="str">
        <v>Math, Bit Manipulation</v>
      </c>
      <c r="G125" t="str">
        <v>moreThanSixMonths, all</v>
      </c>
    </row>
    <row r="126">
      <c r="A126">
        <v>92</v>
      </c>
      <c r="B126" t="str">
        <v>Reverse Linked List II</v>
      </c>
      <c r="C126">
        <f>HYPERLINK("https://leetcode.com/problems/reverse-linked-list-ii","reverse-linked-list-ii")</f>
      </c>
      <c r="D126">
        <v>2</v>
      </c>
      <c r="E126">
        <v>49.64182879901</v>
      </c>
      <c r="F126" t="str">
        <v>Linked List</v>
      </c>
      <c r="G126" t="str">
        <v>moreThanSixMonths, all</v>
      </c>
    </row>
    <row r="127">
      <c r="A127">
        <v>94</v>
      </c>
      <c r="B127" t="str">
        <v>Binary Tree Inorder Traversal</v>
      </c>
      <c r="C127">
        <f>HYPERLINK("https://leetcode.com/problems/binary-tree-inorder-traversal","binary-tree-inorder-traversal")</f>
      </c>
      <c r="D127">
        <v>1</v>
      </c>
      <c r="E127">
        <v>78.640344787244</v>
      </c>
      <c r="F127" t="str">
        <v>Stack, Tree, Depth-First Search, Binary Tree</v>
      </c>
      <c r="G127" t="str">
        <v>moreThanSixMonths, all</v>
      </c>
    </row>
    <row r="128">
      <c r="A128">
        <v>44</v>
      </c>
      <c r="B128" t="str">
        <v>Wildcard Matching</v>
      </c>
      <c r="C128">
        <f>HYPERLINK("https://leetcode.com/problems/wildcard-matching","wildcard-matching")</f>
      </c>
      <c r="D128">
        <v>3</v>
      </c>
      <c r="E128">
        <v>29.957774988484</v>
      </c>
      <c r="F128" t="str">
        <v>String, Dynamic Programming, Greedy, Recursion</v>
      </c>
      <c r="G128" t="str">
        <v>moreThanSixMonths, all</v>
      </c>
    </row>
    <row r="129">
      <c r="A129">
        <v>38</v>
      </c>
      <c r="B129" t="str">
        <v>Count and Say</v>
      </c>
      <c r="C129">
        <f>HYPERLINK("https://leetcode.com/problems/count-and-say","count-and-say")</f>
      </c>
      <c r="D129">
        <v>2</v>
      </c>
      <c r="E129">
        <v>60.564169642813</v>
      </c>
      <c r="F129" t="str">
        <v>String</v>
      </c>
      <c r="G129" t="str">
        <v>moreThanSixMonths, all</v>
      </c>
    </row>
    <row r="130">
      <c r="A130">
        <v>74</v>
      </c>
      <c r="B130" t="str">
        <v>Search a 2D Matrix</v>
      </c>
      <c r="C130">
        <f>HYPERLINK("https://leetcode.com/problems/search-a-2d-matrix","search-a-2d-matrix")</f>
      </c>
      <c r="D130">
        <v>2</v>
      </c>
      <c r="E130">
        <v>52.337364801802</v>
      </c>
      <c r="F130" t="str">
        <v>Array, Binary Search, Matrix</v>
      </c>
      <c r="G130" t="str">
        <v>moreThanSixMonths, all</v>
      </c>
    </row>
    <row r="131">
      <c r="A131">
        <v>73</v>
      </c>
      <c r="B131" t="str">
        <v>Set Matrix Zeroes</v>
      </c>
      <c r="C131">
        <f>HYPERLINK("https://leetcode.com/problems/set-matrix-zeroes","set-matrix-zeroes")</f>
      </c>
      <c r="D131">
        <v>2</v>
      </c>
      <c r="E131">
        <v>60.7758420816</v>
      </c>
      <c r="F131" t="str">
        <v>Array, Hash Table, Matrix</v>
      </c>
      <c r="G131" t="str">
        <v>moreThanSixMonths, all</v>
      </c>
    </row>
    <row r="132">
      <c r="A132">
        <v>83</v>
      </c>
      <c r="B132" t="str">
        <v>Remove Duplicates from Sorted List</v>
      </c>
      <c r="C132">
        <f>HYPERLINK("https://leetcode.com/problems/remove-duplicates-from-sorted-list","remove-duplicates-from-sorted-list")</f>
      </c>
      <c r="D132">
        <v>1</v>
      </c>
      <c r="E132">
        <v>54.923528535756</v>
      </c>
      <c r="F132" t="str">
        <v>Linked List</v>
      </c>
      <c r="G132" t="str">
        <v>moreThanSixMonths, all</v>
      </c>
    </row>
    <row r="133">
      <c r="A133">
        <v>110</v>
      </c>
      <c r="B133" t="str">
        <v>Balanced Binary Tree</v>
      </c>
      <c r="C133">
        <f>HYPERLINK("https://leetcode.com/problems/balanced-binary-tree","balanced-binary-tree")</f>
      </c>
      <c r="D133">
        <v>1</v>
      </c>
      <c r="E133">
        <v>55.413019762691</v>
      </c>
      <c r="F133" t="str">
        <v>Tree, Depth-First Search, Binary Tree</v>
      </c>
      <c r="G133" t="str">
        <v>moreThanSixMonths, all</v>
      </c>
    </row>
    <row r="134">
      <c r="A134">
        <v>24</v>
      </c>
      <c r="B134" t="str">
        <v>Swap Nodes in Pairs</v>
      </c>
      <c r="C134">
        <f>HYPERLINK("https://leetcode.com/problems/swap-nodes-in-pairs","swap-nodes-in-pairs")</f>
      </c>
      <c r="D134">
        <v>2</v>
      </c>
      <c r="E134">
        <v>67.261654801151</v>
      </c>
      <c r="F134" t="str">
        <v>Linked List, Recursion</v>
      </c>
      <c r="G134" t="str">
        <v>moreThanSixMonths, all</v>
      </c>
    </row>
    <row r="135">
      <c r="A135">
        <v>104</v>
      </c>
      <c r="B135" t="str">
        <v>Maximum Depth of Binary Tree</v>
      </c>
      <c r="C135">
        <f>HYPERLINK("https://leetcode.com/problems/maximum-depth-of-binary-tree","maximum-depth-of-binary-tree")</f>
      </c>
      <c r="D135">
        <v>1</v>
      </c>
      <c r="E135">
        <v>77.17180445723</v>
      </c>
      <c r="F135" t="str">
        <v>Tree, Depth-First Search, Breadth-First Search, Binary Tree</v>
      </c>
      <c r="G135" t="str">
        <v>moreThanSixMonths, all</v>
      </c>
    </row>
    <row r="136">
      <c r="A136">
        <v>76</v>
      </c>
      <c r="B136" t="str">
        <v>Minimum Window Substring</v>
      </c>
      <c r="C136">
        <f>HYPERLINK("https://leetcode.com/problems/minimum-window-substring","minimum-window-substring")</f>
      </c>
      <c r="D136">
        <v>3</v>
      </c>
      <c r="E136">
        <v>45.411902832889</v>
      </c>
      <c r="F136" t="str">
        <v>Hash Table, String, Sliding Window</v>
      </c>
      <c r="G136" t="str">
        <v>moreThanSixMonths, all</v>
      </c>
    </row>
    <row r="137">
      <c r="A137">
        <v>78</v>
      </c>
      <c r="B137" t="str">
        <v>Subsets</v>
      </c>
      <c r="C137">
        <f>HYPERLINK("https://leetcode.com/problems/subsets","subsets")</f>
      </c>
      <c r="D137">
        <v>2</v>
      </c>
      <c r="E137">
        <v>80.930015063642</v>
      </c>
      <c r="F137" t="str">
        <v>Array, Backtracking, Bit Manipulation</v>
      </c>
      <c r="G137" t="str">
        <v>moreThanSixMonths, all</v>
      </c>
    </row>
    <row r="138">
      <c r="A138">
        <v>51</v>
      </c>
      <c r="B138" t="str">
        <v>N-Queens</v>
      </c>
      <c r="C138">
        <f>HYPERLINK("https://leetcode.com/problems/n-queens","n-queens")</f>
      </c>
      <c r="D138">
        <v>3</v>
      </c>
      <c r="E138">
        <v>72.913906227551</v>
      </c>
      <c r="F138" t="str">
        <v>Array, Backtracking</v>
      </c>
      <c r="G138" t="str">
        <v>moreThanSixMonths, all</v>
      </c>
    </row>
    <row r="139">
      <c r="A139">
        <v>71</v>
      </c>
      <c r="B139" t="str">
        <v>Simplify Path</v>
      </c>
      <c r="C139">
        <f>HYPERLINK("https://leetcode.com/problems/simplify-path","simplify-path")</f>
      </c>
      <c r="D139">
        <v>2</v>
      </c>
      <c r="E139">
        <v>47.948208491206</v>
      </c>
      <c r="F139" t="str">
        <v>String, Stack</v>
      </c>
      <c r="G139" t="str">
        <v>moreThanSixMonths, all</v>
      </c>
    </row>
    <row r="140">
      <c r="A140">
        <v>102</v>
      </c>
      <c r="B140" t="str">
        <v>Binary Tree Level Order Traversal</v>
      </c>
      <c r="C140">
        <f>HYPERLINK("https://leetcode.com/problems/binary-tree-level-order-traversal","binary-tree-level-order-traversal")</f>
      </c>
      <c r="D140">
        <v>2</v>
      </c>
      <c r="E140">
        <v>70.659925870593</v>
      </c>
      <c r="F140" t="str">
        <v>Tree, Breadth-First Search, Binary Tree</v>
      </c>
      <c r="G140" t="str">
        <v>moreThanSixMonths, all</v>
      </c>
    </row>
    <row r="141">
      <c r="A141">
        <v>6</v>
      </c>
      <c r="B141" t="str">
        <v>Zigzag Conversion</v>
      </c>
      <c r="C141">
        <f>HYPERLINK("https://leetcode.com/problems/zigzag-conversion","zigzag-conversion")</f>
      </c>
      <c r="D141">
        <v>2</v>
      </c>
      <c r="E141">
        <v>51.671786758943</v>
      </c>
      <c r="F141" t="str">
        <v>String</v>
      </c>
      <c r="G141" t="str">
        <v>moreThanSixMonths, all</v>
      </c>
    </row>
    <row r="142">
      <c r="A142">
        <v>91</v>
      </c>
      <c r="B142" t="str">
        <v>Decode Ways</v>
      </c>
      <c r="C142">
        <f>HYPERLINK("https://leetcode.com/problems/decode-ways","decode-ways")</f>
      </c>
      <c r="D142">
        <v>2</v>
      </c>
      <c r="E142">
        <v>36.566137168633</v>
      </c>
      <c r="F142" t="str">
        <v>String, Dynamic Programming</v>
      </c>
      <c r="G142" t="str">
        <v>moreThanSixMonths, all</v>
      </c>
    </row>
    <row r="143">
      <c r="A143">
        <v>12</v>
      </c>
      <c r="B143" t="str">
        <v>Integer to Roman</v>
      </c>
      <c r="C143">
        <f>HYPERLINK("https://leetcode.com/problems/integer-to-roman","integer-to-roman")</f>
      </c>
      <c r="D143">
        <v>2</v>
      </c>
      <c r="E143">
        <v>68.691615088197</v>
      </c>
      <c r="F143" t="str">
        <v>Hash Table, Math, String</v>
      </c>
      <c r="G143" t="str">
        <v>moreThanSixMonths, all</v>
      </c>
    </row>
    <row r="144">
      <c r="A144">
        <v>64</v>
      </c>
      <c r="B144" t="str">
        <v>Minimum Path Sum</v>
      </c>
      <c r="C144">
        <f>HYPERLINK("https://leetcode.com/problems/minimum-path-sum","minimum-path-sum")</f>
      </c>
      <c r="D144">
        <v>2</v>
      </c>
      <c r="E144">
        <v>66.53919131344</v>
      </c>
      <c r="F144" t="str">
        <v>Array, Dynamic Programming, Matrix</v>
      </c>
      <c r="G144" t="str">
        <v>moreThanSixMonths, all</v>
      </c>
    </row>
    <row r="145">
      <c r="A145">
        <v>61</v>
      </c>
      <c r="B145" t="str">
        <v>Rotate List</v>
      </c>
      <c r="C145">
        <f>HYPERLINK("https://leetcode.com/problems/rotate-list","rotate-list")</f>
      </c>
      <c r="D145">
        <v>2</v>
      </c>
      <c r="E145">
        <v>39.994416367115</v>
      </c>
      <c r="F145" t="str">
        <v>Linked List, Two Pointers</v>
      </c>
      <c r="G145" t="str">
        <v>moreThanSixMonths, all</v>
      </c>
    </row>
    <row r="146">
      <c r="A146">
        <v>108</v>
      </c>
      <c r="B146" t="str">
        <v>Convert Sorted Array to Binary Search Tree</v>
      </c>
      <c r="C146">
        <f>HYPERLINK("https://leetcode.com/problems/convert-sorted-array-to-binary-search-tree","convert-sorted-array-to-binary-search-tree")</f>
      </c>
      <c r="D146">
        <v>1</v>
      </c>
      <c r="E146">
        <v>74.11558161915</v>
      </c>
      <c r="F146" t="str">
        <v>Array, Divide and Conquer, Tree, Binary Search Tree, Binary Tree</v>
      </c>
      <c r="G146" t="str">
        <v>moreThanSixMonths, all</v>
      </c>
    </row>
    <row r="147">
      <c r="A147">
        <v>86</v>
      </c>
      <c r="B147" t="str">
        <v>Partition List</v>
      </c>
      <c r="C147">
        <f>HYPERLINK("https://leetcode.com/problems/partition-list","partition-list")</f>
      </c>
      <c r="D147">
        <v>2</v>
      </c>
      <c r="E147">
        <v>59.046532441536</v>
      </c>
      <c r="F147" t="str">
        <v>Linked List, Two Pointers</v>
      </c>
      <c r="G147" t="str">
        <v>moreThanSixMonths, all</v>
      </c>
    </row>
    <row r="148">
      <c r="A148">
        <v>77</v>
      </c>
      <c r="B148" t="str">
        <v>Combinations</v>
      </c>
      <c r="C148">
        <f>HYPERLINK("https://leetcode.com/problems/combinations","combinations")</f>
      </c>
      <c r="D148">
        <v>2</v>
      </c>
      <c r="E148">
        <v>72.953504315821</v>
      </c>
      <c r="F148" t="str">
        <v>Backtracking</v>
      </c>
      <c r="G148" t="str">
        <v>moreThanSixMonths, all</v>
      </c>
    </row>
    <row r="149">
      <c r="A149">
        <v>37</v>
      </c>
      <c r="B149" t="str">
        <v>Sudoku Solver</v>
      </c>
      <c r="C149">
        <f>HYPERLINK("https://leetcode.com/problems/sudoku-solver","sudoku-solver")</f>
      </c>
      <c r="D149">
        <v>3</v>
      </c>
      <c r="E149">
        <v>63.952460874298</v>
      </c>
      <c r="F149" t="str">
        <v>Array, Hash Table, Backtracking, Matrix</v>
      </c>
      <c r="G149" t="str">
        <v>moreThanSixMonths, all</v>
      </c>
    </row>
    <row r="150">
      <c r="A150">
        <v>25</v>
      </c>
      <c r="B150" t="str">
        <v>Reverse Nodes in k-Group</v>
      </c>
      <c r="C150">
        <f>HYPERLINK("https://leetcode.com/problems/reverse-nodes-in-k-group","reverse-nodes-in-k-group")</f>
      </c>
      <c r="D150">
        <v>3</v>
      </c>
      <c r="E150">
        <v>63.129898904708</v>
      </c>
      <c r="F150" t="str">
        <v>Linked List, Recursion</v>
      </c>
      <c r="G150" t="str">
        <v>moreThanSixMonths, all</v>
      </c>
    </row>
    <row r="151">
      <c r="A151">
        <v>82</v>
      </c>
      <c r="B151" t="str">
        <v>Remove Duplicates from Sorted List II</v>
      </c>
      <c r="C151">
        <f>HYPERLINK("https://leetcode.com/problems/remove-duplicates-from-sorted-list-ii","remove-duplicates-from-sorted-list-ii")</f>
      </c>
      <c r="D151">
        <v>2</v>
      </c>
      <c r="E151">
        <v>49.945457170511</v>
      </c>
      <c r="F151" t="str">
        <v>Linked List, Two Pointers</v>
      </c>
      <c r="G151" t="str">
        <v>moreThanSixMonths, all</v>
      </c>
    </row>
    <row r="152">
      <c r="A152">
        <v>58</v>
      </c>
      <c r="B152" t="str">
        <v>Length of Last Word</v>
      </c>
      <c r="C152">
        <f>HYPERLINK("https://leetcode.com/problems/length-of-last-word","length-of-last-word")</f>
      </c>
      <c r="D152">
        <v>1</v>
      </c>
      <c r="E152">
        <v>56.38069384927</v>
      </c>
      <c r="F152" t="str">
        <v>String</v>
      </c>
      <c r="G152" t="str">
        <v>moreThanSixMonths, all</v>
      </c>
    </row>
    <row r="153">
      <c r="A153">
        <v>95</v>
      </c>
      <c r="B153" t="str">
        <v>Unique Binary Search Trees II</v>
      </c>
      <c r="C153">
        <f>HYPERLINK("https://leetcode.com/problems/unique-binary-search-trees-ii","unique-binary-search-trees-ii")</f>
      </c>
      <c r="D153">
        <v>2</v>
      </c>
      <c r="E153">
        <v>60.451625275674</v>
      </c>
      <c r="F153" t="str">
        <v>Dynamic Programming, Backtracking, Tree, Binary Search Tree, Binary Tree</v>
      </c>
      <c r="G153" t="str">
        <v>moreThanSixMonths, all</v>
      </c>
    </row>
    <row r="154">
      <c r="A154">
        <v>43</v>
      </c>
      <c r="B154" t="str">
        <v>Multiply Strings</v>
      </c>
      <c r="C154">
        <f>HYPERLINK("https://leetcode.com/problems/multiply-strings","multiply-strings")</f>
      </c>
      <c r="D154">
        <v>2</v>
      </c>
      <c r="E154">
        <v>42.323398672383</v>
      </c>
      <c r="F154" t="str">
        <v>Math, String, Simulation</v>
      </c>
      <c r="G154" t="str">
        <v>moreThanSixMonths, all</v>
      </c>
    </row>
    <row r="155">
      <c r="A155">
        <v>62</v>
      </c>
      <c r="B155" t="str">
        <v>Unique Paths</v>
      </c>
      <c r="C155">
        <f>HYPERLINK("https://leetcode.com/problems/unique-paths","unique-paths")</f>
      </c>
      <c r="D155">
        <v>2</v>
      </c>
      <c r="E155">
        <v>65.805281323095</v>
      </c>
      <c r="F155" t="str">
        <v>Math, Dynamic Programming, Combinatorics</v>
      </c>
      <c r="G155" t="str">
        <v>moreThanSixMonths, all</v>
      </c>
    </row>
    <row r="156">
      <c r="A156">
        <v>30</v>
      </c>
      <c r="B156" t="str">
        <v>Substring with Concatenation of All Words</v>
      </c>
      <c r="C156">
        <f>HYPERLINK("https://leetcode.com/problems/substring-with-concatenation-of-all-words","substring-with-concatenation-of-all-words")</f>
      </c>
      <c r="D156">
        <v>3</v>
      </c>
      <c r="E156">
        <v>33.016845965235</v>
      </c>
      <c r="F156" t="str">
        <v>Hash Table, String, Sliding Window</v>
      </c>
      <c r="G156" t="str">
        <v>moreThanSixMonths, all</v>
      </c>
    </row>
    <row r="157">
      <c r="A157">
        <v>105</v>
      </c>
      <c r="B157" t="str">
        <v>Construct Binary Tree from Preorder and Inorder Traversal</v>
      </c>
      <c r="C157">
        <f>HYPERLINK("https://leetcode.com/problems/construct-binary-tree-from-preorder-and-inorder-traversal","construct-binary-tree-from-preorder-and-inorder-traversal")</f>
      </c>
      <c r="D157">
        <v>2</v>
      </c>
      <c r="E157">
        <v>66.899674549611</v>
      </c>
      <c r="F157" t="str">
        <v>Array, Hash Table, Divide and Conquer, Tree, Binary Tree</v>
      </c>
      <c r="G157" t="str">
        <v>moreThanSixMonths, all</v>
      </c>
    </row>
    <row r="158">
      <c r="A158">
        <v>85</v>
      </c>
      <c r="B158" t="str">
        <v>Maximal Rectangle</v>
      </c>
      <c r="C158">
        <f>HYPERLINK("https://leetcode.com/problems/maximal-rectangle","maximal-rectangle")</f>
      </c>
      <c r="D158">
        <v>3</v>
      </c>
      <c r="E158">
        <v>53.822356980425</v>
      </c>
      <c r="F158" t="str">
        <v>Array, Dynamic Programming, Stack, Matrix, Monotonic Stack</v>
      </c>
      <c r="G158" t="str">
        <v>moreThanSixMonths, all</v>
      </c>
    </row>
    <row r="159">
      <c r="A159">
        <v>72</v>
      </c>
      <c r="B159" t="str">
        <v>Edit Distance</v>
      </c>
      <c r="C159">
        <f>HYPERLINK("https://leetcode.com/problems/edit-distance","edit-distance")</f>
      </c>
      <c r="D159">
        <v>2</v>
      </c>
      <c r="E159">
        <v>58.843312909001</v>
      </c>
      <c r="F159" t="str">
        <v>String, Dynamic Programming</v>
      </c>
      <c r="G159" t="str">
        <v>moreThanSixMonths, all</v>
      </c>
    </row>
    <row r="160">
      <c r="A160">
        <v>93</v>
      </c>
      <c r="B160" t="str">
        <v>Restore IP Addresses</v>
      </c>
      <c r="C160">
        <f>HYPERLINK("https://leetcode.com/problems/restore-ip-addresses","restore-ip-addresses")</f>
      </c>
      <c r="D160">
        <v>2</v>
      </c>
      <c r="E160">
        <v>53.231470606386</v>
      </c>
      <c r="F160" t="str">
        <v>String, Backtracking</v>
      </c>
      <c r="G160" t="str">
        <v>moreThanSixMonths, all</v>
      </c>
    </row>
    <row r="161">
      <c r="A161">
        <v>16</v>
      </c>
      <c r="B161" t="str">
        <v>3Sum Closest</v>
      </c>
      <c r="C161">
        <f>HYPERLINK("https://leetcode.com/problems/3sum-closest","3sum-closest")</f>
      </c>
      <c r="D161">
        <v>2</v>
      </c>
      <c r="E161">
        <v>46.921906481348</v>
      </c>
      <c r="F161" t="str">
        <v>Array, Two Pointers, Sorting</v>
      </c>
      <c r="G161" t="str">
        <v>moreThanSixMonths, all</v>
      </c>
    </row>
    <row r="162">
      <c r="A162">
        <v>120</v>
      </c>
      <c r="B162" t="str">
        <v>Triangle</v>
      </c>
      <c r="C162">
        <f>HYPERLINK("https://leetcode.com/problems/triangle","triangle")</f>
      </c>
      <c r="D162">
        <v>2</v>
      </c>
      <c r="E162">
        <v>59.361307658494</v>
      </c>
      <c r="F162" t="str">
        <v>Array, Dynamic Programming</v>
      </c>
      <c r="G162" t="str">
        <v>moreThanSixMonths</v>
      </c>
    </row>
    <row r="163">
      <c r="A163">
        <v>65</v>
      </c>
      <c r="B163" t="str">
        <v>Valid Number</v>
      </c>
      <c r="C163">
        <f>HYPERLINK("https://leetcode.com/problems/valid-number","valid-number")</f>
      </c>
      <c r="D163">
        <v>3</v>
      </c>
      <c r="E163">
        <v>21.596527031662</v>
      </c>
      <c r="F163" t="str">
        <v>String</v>
      </c>
      <c r="G163" t="str">
        <v>moreThanSixMonths, all</v>
      </c>
    </row>
    <row r="164">
      <c r="A164">
        <v>96</v>
      </c>
      <c r="B164" t="str">
        <v>Unique Binary Search Trees</v>
      </c>
      <c r="C164">
        <f>HYPERLINK("https://leetcode.com/problems/unique-binary-search-trees","unique-binary-search-trees")</f>
      </c>
      <c r="D164">
        <v>2</v>
      </c>
      <c r="E164">
        <v>62.478786705305</v>
      </c>
      <c r="F164" t="str">
        <v>Math, Dynamic Programming, Tree, Binary Search Tree, Binary Tree</v>
      </c>
      <c r="G164" t="str">
        <v>moreThanSixMonths, all</v>
      </c>
    </row>
    <row r="165">
      <c r="A165">
        <v>80</v>
      </c>
      <c r="B165" t="str">
        <v>Remove Duplicates from Sorted Array II</v>
      </c>
      <c r="C165">
        <f>HYPERLINK("https://leetcode.com/problems/remove-duplicates-from-sorted-array-ii","remove-duplicates-from-sorted-array-ii")</f>
      </c>
      <c r="D165">
        <v>2</v>
      </c>
      <c r="E165">
        <v>62.953007851586</v>
      </c>
      <c r="F165" t="str">
        <v>Array, Two Pointers</v>
      </c>
      <c r="G165" t="str">
        <v>moreThanSixMonths, all</v>
      </c>
    </row>
    <row r="166">
      <c r="A166">
        <v>114</v>
      </c>
      <c r="B166" t="str">
        <v>Flatten Binary Tree to Linked List</v>
      </c>
      <c r="C166">
        <f>HYPERLINK("https://leetcode.com/problems/flatten-binary-tree-to-linked-list","flatten-binary-tree-to-linked-list")</f>
      </c>
      <c r="D166">
        <v>2</v>
      </c>
      <c r="E166">
        <v>68.587362289766</v>
      </c>
      <c r="F166" t="str">
        <v>Linked List, Stack, Tree, Depth-First Search, Binary Tree</v>
      </c>
      <c r="G166" t="str">
        <v>moreThanSixMonths, all</v>
      </c>
    </row>
    <row r="167">
      <c r="A167">
        <v>81</v>
      </c>
      <c r="B167" t="str">
        <v>Search in Rotated Sorted Array II</v>
      </c>
      <c r="C167">
        <f>HYPERLINK("https://leetcode.com/problems/search-in-rotated-sorted-array-ii","search-in-rotated-sorted-array-ii")</f>
      </c>
      <c r="D167">
        <v>2</v>
      </c>
      <c r="E167">
        <v>38.908871182242</v>
      </c>
      <c r="F167" t="str">
        <v>Array, Binary Search</v>
      </c>
      <c r="G167" t="str">
        <v>moreThanSixMonths, all</v>
      </c>
    </row>
    <row r="168">
      <c r="A168">
        <v>99</v>
      </c>
      <c r="B168" t="str">
        <v>Recover Binary Search Tree</v>
      </c>
      <c r="C168">
        <f>HYPERLINK("https://leetcode.com/problems/recover-binary-search-tree","recover-binary-search-tree")</f>
      </c>
      <c r="D168">
        <v>2</v>
      </c>
      <c r="E168">
        <v>56.420265179882</v>
      </c>
      <c r="F168" t="str">
        <v>Tree, Depth-First Search, Binary Search Tree, Binary Tree</v>
      </c>
      <c r="G168" t="str">
        <v>moreThanSixMonths, all</v>
      </c>
    </row>
    <row r="169">
      <c r="A169">
        <v>116</v>
      </c>
      <c r="B169" t="str">
        <v>Populating Next Right Pointers in Each Node</v>
      </c>
      <c r="C169">
        <f>HYPERLINK("https://leetcode.com/problems/populating-next-right-pointers-in-each-node","populating-next-right-pointers-in-each-node")</f>
      </c>
      <c r="D169">
        <v>2</v>
      </c>
      <c r="E169">
        <v>65.493275673621</v>
      </c>
      <c r="F169" t="str">
        <v>Linked List, Tree, Depth-First Search, Breadth-First Search, Binary Tree</v>
      </c>
      <c r="G169" t="str">
        <v>moreThanSixMonths</v>
      </c>
    </row>
    <row r="170">
      <c r="A170">
        <v>90</v>
      </c>
      <c r="B170" t="str">
        <v>Subsets II</v>
      </c>
      <c r="C170">
        <f>HYPERLINK("https://leetcode.com/problems/subsets-ii","subsets-ii")</f>
      </c>
      <c r="D170">
        <v>2</v>
      </c>
      <c r="E170">
        <v>59.568114312458</v>
      </c>
      <c r="F170" t="str">
        <v>Array, Backtracking, Bit Manipulation</v>
      </c>
      <c r="G170" t="str">
        <v>all</v>
      </c>
    </row>
    <row r="171">
      <c r="A171">
        <v>47</v>
      </c>
      <c r="B171" t="str">
        <v>Permutations II</v>
      </c>
      <c r="C171">
        <f>HYPERLINK("https://leetcode.com/problems/permutations-ii","permutations-ii")</f>
      </c>
      <c r="D171">
        <v>2</v>
      </c>
      <c r="E171">
        <v>61.643624311925</v>
      </c>
      <c r="F171" t="str">
        <v>Array, Backtracking, Sorting</v>
      </c>
      <c r="G171" t="str">
        <v>all</v>
      </c>
    </row>
    <row r="172">
      <c r="A172">
        <v>63</v>
      </c>
      <c r="B172" t="str">
        <v>Unique Paths II</v>
      </c>
      <c r="C172">
        <f>HYPERLINK("https://leetcode.com/problems/unique-paths-ii","unique-paths-ii")</f>
      </c>
      <c r="D172">
        <v>2</v>
      </c>
      <c r="E172">
        <v>43.195997939021</v>
      </c>
      <c r="F172" t="str">
        <v>Array, Dynamic Programming, Matrix</v>
      </c>
      <c r="G172" t="str">
        <v>all</v>
      </c>
    </row>
  </sheetData>
  <mergeCells count="1">
    <mergeCell ref="A1:G1"/>
  </mergeCells>
  <ignoredErrors>
    <ignoredError numberStoredAsText="1" sqref="A1:G1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
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27 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42" customWidth="1" min="2" max="2"/>
    <col width="32" customWidth="1" min="3" max="3"/>
    <col width="16" customWidth="1" min="4" max="4"/>
    <col width="14" customWidth="1" min="5" max="5"/>
    <col width="10" customWidth="1" min="6" max="6"/>
    <col width="32" customWidth="1" min="7" max="7"/>
    <col width="32" customWidth="1" min="8" max="8"/>
    <col width="16" customWidth="1" min="9" max="9"/>
    <col width="12" customWidth="1" min="10" max="10"/>
  </cols>
  <sheetData>
    <row r="1">
      <c r="A1" s="1" t="inlineStr">
        <is>
          <t>#</t>
        </is>
      </c>
      <c r="B1" s="2" t="inlineStr">
        <is>
          <t>Title</t>
        </is>
      </c>
      <c r="C1" s="2" t="inlineStr">
        <is>
          <t>Practice Link</t>
        </is>
      </c>
      <c r="D1" s="2" t="inlineStr">
        <is>
          <t>Read / Article</t>
        </is>
      </c>
      <c r="E1" s="1" t="inlineStr">
        <is>
          <t>Difficulty</t>
        </is>
      </c>
      <c r="F1" s="1" t="inlineStr">
        <is>
          <t>Module #</t>
        </is>
      </c>
      <c r="G1" s="2" t="inlineStr">
        <is>
          <t>Module Name</t>
        </is>
      </c>
      <c r="H1" s="2" t="inlineStr">
        <is>
          <t>Submodule</t>
        </is>
      </c>
      <c r="I1" s="2" t="inlineStr">
        <is>
          <t>Platform</t>
        </is>
      </c>
      <c r="J1" s="2" t="inlineStr">
        <is>
          <t>Kind</t>
        </is>
      </c>
    </row>
    <row r="2">
      <c r="A2" t="n">
        <v>1</v>
      </c>
      <c r="B2" t="inlineStr">
        <is>
          <t>What is C++?</t>
        </is>
      </c>
      <c r="C2">
        <f>HYPERLINK("https://read.learnyard.com/cpp-fundamentals/what-is-cpp/","Solve Problem")</f>
        <v/>
      </c>
      <c r="D2">
        <f>HYPERLINK("https://read.learnyard.com/cpp-fundamentals/what-is-cpp/","Read Article")</f>
        <v/>
      </c>
      <c r="E2" t="inlineStr">
        <is>
          <t>Theory</t>
        </is>
      </c>
      <c r="F2" t="n">
        <v>1</v>
      </c>
      <c r="G2" t="inlineStr">
        <is>
          <t>Programming Fundamentals</t>
        </is>
      </c>
      <c r="H2" t="inlineStr">
        <is>
          <t>C++ Fundamentals</t>
        </is>
      </c>
      <c r="I2" t="inlineStr">
        <is>
          <t>Learnyard</t>
        </is>
      </c>
      <c r="J2" t="inlineStr">
        <is>
          <t>Lesson</t>
        </is>
      </c>
    </row>
    <row r="3">
      <c r="A3" t="n">
        <v>2</v>
      </c>
      <c r="B3" t="inlineStr">
        <is>
          <t>Literals</t>
        </is>
      </c>
      <c r="C3">
        <f>HYPERLINK("https://read.learnyard.com/cpp-fundamentals/literals-in-cpp/","Solve Problem")</f>
        <v/>
      </c>
      <c r="D3">
        <f>HYPERLINK("https://read.learnyard.com/cpp-fundamentals/literals-in-cpp/","Read Article")</f>
        <v/>
      </c>
      <c r="E3" t="inlineStr">
        <is>
          <t>Theory</t>
        </is>
      </c>
      <c r="F3" t="n">
        <v>1</v>
      </c>
      <c r="G3" t="inlineStr">
        <is>
          <t>Programming Fundamentals</t>
        </is>
      </c>
      <c r="H3" t="inlineStr">
        <is>
          <t>C++ Fundamentals</t>
        </is>
      </c>
      <c r="I3" t="inlineStr">
        <is>
          <t>Learnyard</t>
        </is>
      </c>
      <c r="J3" t="inlineStr">
        <is>
          <t>Lesson</t>
        </is>
      </c>
    </row>
    <row r="4">
      <c r="A4" t="n">
        <v>3</v>
      </c>
      <c r="B4" t="inlineStr">
        <is>
          <t>Comments</t>
        </is>
      </c>
      <c r="C4">
        <f>HYPERLINK("https://read.learnyard.com/cpp-fundamentals/comments-in-cpp/","Solve Problem")</f>
        <v/>
      </c>
      <c r="D4">
        <f>HYPERLINK("https://read.learnyard.com/cpp-fundamentals/comments-in-cpp/","Read Article")</f>
        <v/>
      </c>
      <c r="E4" t="inlineStr">
        <is>
          <t>Theory</t>
        </is>
      </c>
      <c r="F4" t="n">
        <v>1</v>
      </c>
      <c r="G4" t="inlineStr">
        <is>
          <t>Programming Fundamentals</t>
        </is>
      </c>
      <c r="H4" t="inlineStr">
        <is>
          <t>C++ Fundamentals</t>
        </is>
      </c>
      <c r="I4" t="inlineStr">
        <is>
          <t>Learnyard</t>
        </is>
      </c>
      <c r="J4" t="inlineStr">
        <is>
          <t>Lesson</t>
        </is>
      </c>
    </row>
    <row r="5">
      <c r="A5" t="n">
        <v>4</v>
      </c>
      <c r="B5" t="inlineStr">
        <is>
          <t>Variables</t>
        </is>
      </c>
      <c r="C5">
        <f>HYPERLINK("https://read.learnyard.com/cpp-fundamentals/variables-in-cpp/","Solve Problem")</f>
        <v/>
      </c>
      <c r="D5">
        <f>HYPERLINK("https://read.learnyard.com/cpp-fundamentals/variables-in-cpp/","Read Article")</f>
        <v/>
      </c>
      <c r="E5" t="inlineStr">
        <is>
          <t>Theory</t>
        </is>
      </c>
      <c r="F5" t="n">
        <v>1</v>
      </c>
      <c r="G5" t="inlineStr">
        <is>
          <t>Programming Fundamentals</t>
        </is>
      </c>
      <c r="H5" t="inlineStr">
        <is>
          <t>C++ Fundamentals</t>
        </is>
      </c>
      <c r="I5" t="inlineStr">
        <is>
          <t>Learnyard</t>
        </is>
      </c>
      <c r="J5" t="inlineStr">
        <is>
          <t>Lesson</t>
        </is>
      </c>
    </row>
    <row r="6">
      <c r="A6" t="n">
        <v>5</v>
      </c>
      <c r="B6" t="inlineStr">
        <is>
          <t>Data Types</t>
        </is>
      </c>
      <c r="C6">
        <f>HYPERLINK("https://read.learnyard.com/cpp-fundamentals/data-types-in-cpp/","Solve Problem")</f>
        <v/>
      </c>
      <c r="D6">
        <f>HYPERLINK("https://read.learnyard.com/cpp-fundamentals/data-types-in-cpp/","Read Article")</f>
        <v/>
      </c>
      <c r="E6" t="inlineStr">
        <is>
          <t>Theory</t>
        </is>
      </c>
      <c r="F6" t="n">
        <v>1</v>
      </c>
      <c r="G6" t="inlineStr">
        <is>
          <t>Programming Fundamentals</t>
        </is>
      </c>
      <c r="H6" t="inlineStr">
        <is>
          <t>C++ Fundamentals</t>
        </is>
      </c>
      <c r="I6" t="inlineStr">
        <is>
          <t>Learnyard</t>
        </is>
      </c>
      <c r="J6" t="inlineStr">
        <is>
          <t>Lesson</t>
        </is>
      </c>
    </row>
    <row r="7">
      <c r="A7" t="n">
        <v>6</v>
      </c>
      <c r="B7" t="inlineStr">
        <is>
          <t>Print Output</t>
        </is>
      </c>
      <c r="C7">
        <f>HYPERLINK("https://read.learnyard.com/cpp-fundamentals/print-output-in-cpp/","Solve Problem")</f>
        <v/>
      </c>
      <c r="D7">
        <f>HYPERLINK("https://read.learnyard.com/cpp-fundamentals/print-output-in-cpp/","Read Article")</f>
        <v/>
      </c>
      <c r="E7" t="inlineStr">
        <is>
          <t>Theory</t>
        </is>
      </c>
      <c r="F7" t="n">
        <v>1</v>
      </c>
      <c r="G7" t="inlineStr">
        <is>
          <t>Programming Fundamentals</t>
        </is>
      </c>
      <c r="H7" t="inlineStr">
        <is>
          <t>C++ Fundamentals</t>
        </is>
      </c>
      <c r="I7" t="inlineStr">
        <is>
          <t>Learnyard</t>
        </is>
      </c>
      <c r="J7" t="inlineStr">
        <is>
          <t>Lesson</t>
        </is>
      </c>
    </row>
    <row r="8">
      <c r="A8" t="n">
        <v>7</v>
      </c>
      <c r="B8" t="inlineStr">
        <is>
          <t>Operators Part 1</t>
        </is>
      </c>
      <c r="C8">
        <f>HYPERLINK("https://read.learnyard.com/cpp-fundamentals/operators-in-cpp-part-1/","Solve Problem")</f>
        <v/>
      </c>
      <c r="D8">
        <f>HYPERLINK("https://read.learnyard.com/cpp-fundamentals/operators-in-cpp-part-1/","Read Article")</f>
        <v/>
      </c>
      <c r="E8" t="inlineStr">
        <is>
          <t>Theory</t>
        </is>
      </c>
      <c r="F8" t="n">
        <v>1</v>
      </c>
      <c r="G8" t="inlineStr">
        <is>
          <t>Programming Fundamentals</t>
        </is>
      </c>
      <c r="H8" t="inlineStr">
        <is>
          <t>C++ Fundamentals</t>
        </is>
      </c>
      <c r="I8" t="inlineStr">
        <is>
          <t>Learnyard</t>
        </is>
      </c>
      <c r="J8" t="inlineStr">
        <is>
          <t>Lesson</t>
        </is>
      </c>
    </row>
    <row r="9">
      <c r="A9" t="n">
        <v>8</v>
      </c>
      <c r="B9" t="inlineStr">
        <is>
          <t>Operators Part 2</t>
        </is>
      </c>
      <c r="C9">
        <f>HYPERLINK("https://read.learnyard.com/cpp-fundamentals/operators-in-cpp-part-2/","Solve Problem")</f>
        <v/>
      </c>
      <c r="D9">
        <f>HYPERLINK("https://read.learnyard.com/cpp-fundamentals/operators-in-cpp-part-2/","Read Article")</f>
        <v/>
      </c>
      <c r="E9" t="inlineStr">
        <is>
          <t>Theory</t>
        </is>
      </c>
      <c r="F9" t="n">
        <v>1</v>
      </c>
      <c r="G9" t="inlineStr">
        <is>
          <t>Programming Fundamentals</t>
        </is>
      </c>
      <c r="H9" t="inlineStr">
        <is>
          <t>C++ Fundamentals</t>
        </is>
      </c>
      <c r="I9" t="inlineStr">
        <is>
          <t>Learnyard</t>
        </is>
      </c>
      <c r="J9" t="inlineStr">
        <is>
          <t>Lesson</t>
        </is>
      </c>
    </row>
    <row r="10">
      <c r="A10" t="n">
        <v>9</v>
      </c>
      <c r="B10" t="inlineStr">
        <is>
          <t>Booleans</t>
        </is>
      </c>
      <c r="C10">
        <f>HYPERLINK("https://read.learnyard.com/cpp-fundamentals/booleans-in-cpp/","Solve Problem")</f>
        <v/>
      </c>
      <c r="D10">
        <f>HYPERLINK("https://read.learnyard.com/cpp-fundamentals/booleans-in-cpp/","Read Article")</f>
        <v/>
      </c>
      <c r="E10" t="inlineStr">
        <is>
          <t>Theory</t>
        </is>
      </c>
      <c r="F10" t="n">
        <v>1</v>
      </c>
      <c r="G10" t="inlineStr">
        <is>
          <t>Programming Fundamentals</t>
        </is>
      </c>
      <c r="H10" t="inlineStr">
        <is>
          <t>C++ Fundamentals</t>
        </is>
      </c>
      <c r="I10" t="inlineStr">
        <is>
          <t>Learnyard</t>
        </is>
      </c>
      <c r="J10" t="inlineStr">
        <is>
          <t>Lesson</t>
        </is>
      </c>
    </row>
    <row r="11">
      <c r="A11" t="n">
        <v>10</v>
      </c>
      <c r="B11" t="inlineStr">
        <is>
          <t>If-Else</t>
        </is>
      </c>
      <c r="C11">
        <f>HYPERLINK("https://read.learnyard.com/cpp-fundamentals/if-else-cpp/","Solve Problem")</f>
        <v/>
      </c>
      <c r="D11">
        <f>HYPERLINK("https://read.learnyard.com/cpp-fundamentals/if-else-cpp/","Read Article")</f>
        <v/>
      </c>
      <c r="E11" t="inlineStr">
        <is>
          <t>Theory</t>
        </is>
      </c>
      <c r="F11" t="n">
        <v>1</v>
      </c>
      <c r="G11" t="inlineStr">
        <is>
          <t>Programming Fundamentals</t>
        </is>
      </c>
      <c r="H11" t="inlineStr">
        <is>
          <t>C++ Fundamentals</t>
        </is>
      </c>
      <c r="I11" t="inlineStr">
        <is>
          <t>Learnyard</t>
        </is>
      </c>
      <c r="J11" t="inlineStr">
        <is>
          <t>Lesson</t>
        </is>
      </c>
    </row>
    <row r="12">
      <c r="A12" t="n">
        <v>11</v>
      </c>
      <c r="B12" t="inlineStr">
        <is>
          <t>Else-If Ladder</t>
        </is>
      </c>
      <c r="C12">
        <f>HYPERLINK("https://read.learnyard.com/cpp-fundamentals/else-if-ladder-cpp/","Solve Problem")</f>
        <v/>
      </c>
      <c r="D12">
        <f>HYPERLINK("https://read.learnyard.com/cpp-fundamentals/else-if-ladder-cpp/","Read Article")</f>
        <v/>
      </c>
      <c r="E12" t="inlineStr">
        <is>
          <t>Theory</t>
        </is>
      </c>
      <c r="F12" t="n">
        <v>1</v>
      </c>
      <c r="G12" t="inlineStr">
        <is>
          <t>Programming Fundamentals</t>
        </is>
      </c>
      <c r="H12" t="inlineStr">
        <is>
          <t>C++ Fundamentals</t>
        </is>
      </c>
      <c r="I12" t="inlineStr">
        <is>
          <t>Learnyard</t>
        </is>
      </c>
      <c r="J12" t="inlineStr">
        <is>
          <t>Lesson</t>
        </is>
      </c>
    </row>
    <row r="13">
      <c r="A13" t="n">
        <v>12</v>
      </c>
      <c r="B13" t="inlineStr">
        <is>
          <t>While Loop</t>
        </is>
      </c>
      <c r="C13">
        <f>HYPERLINK("https://read.learnyard.com/cpp-fundamentals/while-loop-cpp/","Solve Problem")</f>
        <v/>
      </c>
      <c r="D13">
        <f>HYPERLINK("https://read.learnyard.com/cpp-fundamentals/while-loop-cpp/","Read Article")</f>
        <v/>
      </c>
      <c r="E13" t="inlineStr">
        <is>
          <t>Theory</t>
        </is>
      </c>
      <c r="F13" t="n">
        <v>1</v>
      </c>
      <c r="G13" t="inlineStr">
        <is>
          <t>Programming Fundamentals</t>
        </is>
      </c>
      <c r="H13" t="inlineStr">
        <is>
          <t>C++ Fundamentals</t>
        </is>
      </c>
      <c r="I13" t="inlineStr">
        <is>
          <t>Learnyard</t>
        </is>
      </c>
      <c r="J13" t="inlineStr">
        <is>
          <t>Lesson</t>
        </is>
      </c>
    </row>
    <row r="14">
      <c r="A14" t="n">
        <v>13</v>
      </c>
      <c r="B14" t="inlineStr">
        <is>
          <t>For Loop</t>
        </is>
      </c>
      <c r="C14">
        <f>HYPERLINK("https://read.learnyard.com/cpp-fundamentals/for-loop-cpp/","Solve Problem")</f>
        <v/>
      </c>
      <c r="D14">
        <f>HYPERLINK("https://read.learnyard.com/cpp-fundamentals/for-loop-cpp/","Read Article")</f>
        <v/>
      </c>
      <c r="E14" t="inlineStr">
        <is>
          <t>Theory</t>
        </is>
      </c>
      <c r="F14" t="n">
        <v>1</v>
      </c>
      <c r="G14" t="inlineStr">
        <is>
          <t>Programming Fundamentals</t>
        </is>
      </c>
      <c r="H14" t="inlineStr">
        <is>
          <t>C++ Fundamentals</t>
        </is>
      </c>
      <c r="I14" t="inlineStr">
        <is>
          <t>Learnyard</t>
        </is>
      </c>
      <c r="J14" t="inlineStr">
        <is>
          <t>Lesson</t>
        </is>
      </c>
    </row>
    <row r="15">
      <c r="A15" t="n">
        <v>14</v>
      </c>
      <c r="B15" t="inlineStr">
        <is>
          <t>Loops Standard Problems</t>
        </is>
      </c>
      <c r="C15">
        <f>HYPERLINK("https://read.learnyard.com/cpp-fundamentals/loops-standard-problems-cpp/","Solve Problem")</f>
        <v/>
      </c>
      <c r="D15">
        <f>HYPERLINK("https://read.learnyard.com/cpp-fundamentals/loops-standard-problems-cpp/","Read Article")</f>
        <v/>
      </c>
      <c r="E15" t="inlineStr">
        <is>
          <t>Theory</t>
        </is>
      </c>
      <c r="F15" t="n">
        <v>1</v>
      </c>
      <c r="G15" t="inlineStr">
        <is>
          <t>Programming Fundamentals</t>
        </is>
      </c>
      <c r="H15" t="inlineStr">
        <is>
          <t>C++ Fundamentals</t>
        </is>
      </c>
      <c r="I15" t="inlineStr">
        <is>
          <t>Learnyard</t>
        </is>
      </c>
      <c r="J15" t="inlineStr">
        <is>
          <t>Lesson</t>
        </is>
      </c>
    </row>
    <row r="16">
      <c r="A16" t="n">
        <v>15</v>
      </c>
      <c r="B16" t="inlineStr">
        <is>
          <t>Break and Continue</t>
        </is>
      </c>
      <c r="C16">
        <f>HYPERLINK("https://read.learnyard.com/cpp-fundamentals/break-and-continue-cpp/","Solve Problem")</f>
        <v/>
      </c>
      <c r="D16">
        <f>HYPERLINK("https://read.learnyard.com/cpp-fundamentals/break-and-continue-cpp/","Read Article")</f>
        <v/>
      </c>
      <c r="E16" t="inlineStr">
        <is>
          <t>Theory</t>
        </is>
      </c>
      <c r="F16" t="n">
        <v>1</v>
      </c>
      <c r="G16" t="inlineStr">
        <is>
          <t>Programming Fundamentals</t>
        </is>
      </c>
      <c r="H16" t="inlineStr">
        <is>
          <t>C++ Fundamentals</t>
        </is>
      </c>
      <c r="I16" t="inlineStr">
        <is>
          <t>Learnyard</t>
        </is>
      </c>
      <c r="J16" t="inlineStr">
        <is>
          <t>Lesson</t>
        </is>
      </c>
    </row>
    <row r="17">
      <c r="A17" t="n">
        <v>16</v>
      </c>
      <c r="B17" t="inlineStr">
        <is>
          <t>Switch Statement</t>
        </is>
      </c>
      <c r="C17">
        <f>HYPERLINK("https://read.learnyard.com/cpp-fundamentals/switch-statement-cpp/","Solve Problem")</f>
        <v/>
      </c>
      <c r="D17">
        <f>HYPERLINK("https://read.learnyard.com/cpp-fundamentals/switch-statement-cpp/","Read Article")</f>
        <v/>
      </c>
      <c r="E17" t="inlineStr">
        <is>
          <t>Theory</t>
        </is>
      </c>
      <c r="F17" t="n">
        <v>1</v>
      </c>
      <c r="G17" t="inlineStr">
        <is>
          <t>Programming Fundamentals</t>
        </is>
      </c>
      <c r="H17" t="inlineStr">
        <is>
          <t>C++ Fundamentals</t>
        </is>
      </c>
      <c r="I17" t="inlineStr">
        <is>
          <t>Learnyard</t>
        </is>
      </c>
      <c r="J17" t="inlineStr">
        <is>
          <t>Lesson</t>
        </is>
      </c>
    </row>
    <row r="18">
      <c r="A18" t="n">
        <v>17</v>
      </c>
      <c r="B18" t="inlineStr">
        <is>
          <t>Functions</t>
        </is>
      </c>
      <c r="C18">
        <f>HYPERLINK("https://read.learnyard.com/cpp-fundamentals/functions-in-cpp/","Solve Problem")</f>
        <v/>
      </c>
      <c r="D18">
        <f>HYPERLINK("https://read.learnyard.com/cpp-fundamentals/functions-in-cpp/","Read Article")</f>
        <v/>
      </c>
      <c r="E18" t="inlineStr">
        <is>
          <t>Theory</t>
        </is>
      </c>
      <c r="F18" t="n">
        <v>1</v>
      </c>
      <c r="G18" t="inlineStr">
        <is>
          <t>Programming Fundamentals</t>
        </is>
      </c>
      <c r="H18" t="inlineStr">
        <is>
          <t>C++ Fundamentals</t>
        </is>
      </c>
      <c r="I18" t="inlineStr">
        <is>
          <t>Learnyard</t>
        </is>
      </c>
      <c r="J18" t="inlineStr">
        <is>
          <t>Lesson</t>
        </is>
      </c>
    </row>
    <row r="19">
      <c r="A19" t="n">
        <v>18</v>
      </c>
      <c r="B19" t="inlineStr">
        <is>
          <t>Functions Arguments</t>
        </is>
      </c>
      <c r="C19">
        <f>HYPERLINK("https://read.learnyard.com/cpp-fundamentals/function-arguments-in-cpp/","Solve Problem")</f>
        <v/>
      </c>
      <c r="D19">
        <f>HYPERLINK("https://read.learnyard.com/cpp-fundamentals/function-arguments-in-cpp/","Read Article")</f>
        <v/>
      </c>
      <c r="E19" t="inlineStr">
        <is>
          <t>Theory</t>
        </is>
      </c>
      <c r="F19" t="n">
        <v>1</v>
      </c>
      <c r="G19" t="inlineStr">
        <is>
          <t>Programming Fundamentals</t>
        </is>
      </c>
      <c r="H19" t="inlineStr">
        <is>
          <t>C++ Fundamentals</t>
        </is>
      </c>
      <c r="I19" t="inlineStr">
        <is>
          <t>Learnyard</t>
        </is>
      </c>
      <c r="J19" t="inlineStr">
        <is>
          <t>Lesson</t>
        </is>
      </c>
    </row>
    <row r="20">
      <c r="A20" t="n">
        <v>19</v>
      </c>
      <c r="B20" t="inlineStr">
        <is>
          <t>Return Statement</t>
        </is>
      </c>
      <c r="C20">
        <f>HYPERLINK("https://read.learnyard.com/cpp-fundamentals/return-statement-cpp/","Solve Problem")</f>
        <v/>
      </c>
      <c r="D20">
        <f>HYPERLINK("https://read.learnyard.com/cpp-fundamentals/return-statement-cpp/","Read Article")</f>
        <v/>
      </c>
      <c r="E20" t="inlineStr">
        <is>
          <t>Theory</t>
        </is>
      </c>
      <c r="F20" t="n">
        <v>1</v>
      </c>
      <c r="G20" t="inlineStr">
        <is>
          <t>Programming Fundamentals</t>
        </is>
      </c>
      <c r="H20" t="inlineStr">
        <is>
          <t>C++ Fundamentals</t>
        </is>
      </c>
      <c r="I20" t="inlineStr">
        <is>
          <t>Learnyard</t>
        </is>
      </c>
      <c r="J20" t="inlineStr">
        <is>
          <t>Lesson</t>
        </is>
      </c>
    </row>
    <row r="21">
      <c r="A21" t="n">
        <v>20</v>
      </c>
      <c r="B21" t="inlineStr">
        <is>
          <t>Local Variable</t>
        </is>
      </c>
      <c r="C21">
        <f>HYPERLINK("https://read.learnyard.com/cpp-fundamentals/local-variable-cpp/","Solve Problem")</f>
        <v/>
      </c>
      <c r="D21">
        <f>HYPERLINK("https://read.learnyard.com/cpp-fundamentals/local-variable-cpp/","Read Article")</f>
        <v/>
      </c>
      <c r="E21" t="inlineStr">
        <is>
          <t>Theory</t>
        </is>
      </c>
      <c r="F21" t="n">
        <v>1</v>
      </c>
      <c r="G21" t="inlineStr">
        <is>
          <t>Programming Fundamentals</t>
        </is>
      </c>
      <c r="H21" t="inlineStr">
        <is>
          <t>C++ Fundamentals</t>
        </is>
      </c>
      <c r="I21" t="inlineStr">
        <is>
          <t>Learnyard</t>
        </is>
      </c>
      <c r="J21" t="inlineStr">
        <is>
          <t>Lesson</t>
        </is>
      </c>
    </row>
    <row r="22">
      <c r="A22" t="n">
        <v>21</v>
      </c>
      <c r="B22" t="inlineStr">
        <is>
          <t>Why Do We Use Arguments and Return Type in a Function?</t>
        </is>
      </c>
      <c r="C22">
        <f>HYPERLINK("https://read.learnyard.com/cpp-fundamentals/why-do-we-use-arguments-and-return-type-in-a-function-cpp/","Solve Problem")</f>
        <v/>
      </c>
      <c r="D22">
        <f>HYPERLINK("https://read.learnyard.com/cpp-fundamentals/why-do-we-use-arguments-and-return-type-in-a-function-cpp/","Read Article")</f>
        <v/>
      </c>
      <c r="E22" t="inlineStr">
        <is>
          <t>Theory</t>
        </is>
      </c>
      <c r="F22" t="n">
        <v>1</v>
      </c>
      <c r="G22" t="inlineStr">
        <is>
          <t>Programming Fundamentals</t>
        </is>
      </c>
      <c r="H22" t="inlineStr">
        <is>
          <t>C++ Fundamentals</t>
        </is>
      </c>
      <c r="I22" t="inlineStr">
        <is>
          <t>Learnyard</t>
        </is>
      </c>
      <c r="J22" t="inlineStr">
        <is>
          <t>Lesson</t>
        </is>
      </c>
    </row>
    <row r="23">
      <c r="A23" t="n">
        <v>22</v>
      </c>
      <c r="B23" t="inlineStr">
        <is>
          <t>Standard Library Functions</t>
        </is>
      </c>
      <c r="C23">
        <f>HYPERLINK("https://read.learnyard.com/cpp-fundamentals/standard-library-functions-cpp/","Solve Problem")</f>
        <v/>
      </c>
      <c r="D23">
        <f>HYPERLINK("https://read.learnyard.com/cpp-fundamentals/standard-library-functions-cpp/","Read Article")</f>
        <v/>
      </c>
      <c r="E23" t="inlineStr">
        <is>
          <t>Theory</t>
        </is>
      </c>
      <c r="F23" t="n">
        <v>1</v>
      </c>
      <c r="G23" t="inlineStr">
        <is>
          <t>Programming Fundamentals</t>
        </is>
      </c>
      <c r="H23" t="inlineStr">
        <is>
          <t>C++ Fundamentals</t>
        </is>
      </c>
      <c r="I23" t="inlineStr">
        <is>
          <t>Learnyard</t>
        </is>
      </c>
      <c r="J23" t="inlineStr">
        <is>
          <t>Lesson</t>
        </is>
      </c>
    </row>
    <row r="24">
      <c r="A24" t="n">
        <v>23</v>
      </c>
      <c r="B24" t="inlineStr">
        <is>
          <t>Nested Functions</t>
        </is>
      </c>
      <c r="C24">
        <f>HYPERLINK("https://read.learnyard.com/cpp-fundamentals/nested-functions-cpp/","Solve Problem")</f>
        <v/>
      </c>
      <c r="D24">
        <f>HYPERLINK("https://read.learnyard.com/cpp-fundamentals/nested-functions-cpp/","Read Article")</f>
        <v/>
      </c>
      <c r="E24" t="inlineStr">
        <is>
          <t>Theory</t>
        </is>
      </c>
      <c r="F24" t="n">
        <v>1</v>
      </c>
      <c r="G24" t="inlineStr">
        <is>
          <t>Programming Fundamentals</t>
        </is>
      </c>
      <c r="H24" t="inlineStr">
        <is>
          <t>C++ Fundamentals</t>
        </is>
      </c>
      <c r="I24" t="inlineStr">
        <is>
          <t>Learnyard</t>
        </is>
      </c>
      <c r="J24" t="inlineStr">
        <is>
          <t>Lesson</t>
        </is>
      </c>
    </row>
    <row r="25">
      <c r="A25" t="n">
        <v>24</v>
      </c>
      <c r="B25" t="inlineStr">
        <is>
          <t>Arrays</t>
        </is>
      </c>
      <c r="C25">
        <f>HYPERLINK("https://read.learnyard.com/cpp-fundamentals/arrays-in-cpp/","Solve Problem")</f>
        <v/>
      </c>
      <c r="D25">
        <f>HYPERLINK("https://read.learnyard.com/cpp-fundamentals/arrays-in-cpp/","Read Article")</f>
        <v/>
      </c>
      <c r="E25" t="inlineStr">
        <is>
          <t>Theory</t>
        </is>
      </c>
      <c r="F25" t="n">
        <v>1</v>
      </c>
      <c r="G25" t="inlineStr">
        <is>
          <t>Programming Fundamentals</t>
        </is>
      </c>
      <c r="H25" t="inlineStr">
        <is>
          <t>C++ Fundamentals</t>
        </is>
      </c>
      <c r="I25" t="inlineStr">
        <is>
          <t>Learnyard</t>
        </is>
      </c>
      <c r="J25" t="inlineStr">
        <is>
          <t>Lesson</t>
        </is>
      </c>
    </row>
    <row r="26">
      <c r="A26" t="n">
        <v>25</v>
      </c>
      <c r="B26" t="inlineStr">
        <is>
          <t>Iterating and Updating Arrays</t>
        </is>
      </c>
      <c r="C26">
        <f>HYPERLINK("https://read.learnyard.com/cpp-fundamentals/iterating-and-updating-arrays-cpp/","Solve Problem")</f>
        <v/>
      </c>
      <c r="D26">
        <f>HYPERLINK("https://read.learnyard.com/cpp-fundamentals/iterating-and-updating-arrays-cpp/","Read Article")</f>
        <v/>
      </c>
      <c r="E26" t="inlineStr">
        <is>
          <t>Theory</t>
        </is>
      </c>
      <c r="F26" t="n">
        <v>1</v>
      </c>
      <c r="G26" t="inlineStr">
        <is>
          <t>Programming Fundamentals</t>
        </is>
      </c>
      <c r="H26" t="inlineStr">
        <is>
          <t>C++ Fundamentals</t>
        </is>
      </c>
      <c r="I26" t="inlineStr">
        <is>
          <t>Learnyard</t>
        </is>
      </c>
      <c r="J26" t="inlineStr">
        <is>
          <t>Lesson</t>
        </is>
      </c>
    </row>
    <row r="27">
      <c r="A27" t="n">
        <v>26</v>
      </c>
      <c r="B27" t="inlineStr">
        <is>
          <t>Taking Input in Arrays</t>
        </is>
      </c>
      <c r="C27">
        <f>HYPERLINK("https://read.learnyard.com/cpp-fundamentals/taking-input-in-arrays-cpp/","Solve Problem")</f>
        <v/>
      </c>
      <c r="D27">
        <f>HYPERLINK("https://read.learnyard.com/cpp-fundamentals/taking-input-in-arrays-cpp/","Read Article")</f>
        <v/>
      </c>
      <c r="E27" t="inlineStr">
        <is>
          <t>Theory</t>
        </is>
      </c>
      <c r="F27" t="n">
        <v>1</v>
      </c>
      <c r="G27" t="inlineStr">
        <is>
          <t>Programming Fundamentals</t>
        </is>
      </c>
      <c r="H27" t="inlineStr">
        <is>
          <t>C++ Fundamentals</t>
        </is>
      </c>
      <c r="I27" t="inlineStr">
        <is>
          <t>Learnyard</t>
        </is>
      </c>
      <c r="J27" t="inlineStr">
        <is>
          <t>Lesson</t>
        </is>
      </c>
    </row>
    <row r="28">
      <c r="A28" t="n">
        <v>27</v>
      </c>
      <c r="B28" t="inlineStr">
        <is>
          <t>Arrays Memory Allocation</t>
        </is>
      </c>
      <c r="C28">
        <f>HYPERLINK("https://read.learnyard.com/cpp-fundamentals/arrays-memory-allocation-cpp/","Solve Problem")</f>
        <v/>
      </c>
      <c r="D28">
        <f>HYPERLINK("https://read.learnyard.com/cpp-fundamentals/arrays-memory-allocation-cpp/","Read Article")</f>
        <v/>
      </c>
      <c r="E28" t="inlineStr">
        <is>
          <t>Theory</t>
        </is>
      </c>
      <c r="F28" t="n">
        <v>1</v>
      </c>
      <c r="G28" t="inlineStr">
        <is>
          <t>Programming Fundamentals</t>
        </is>
      </c>
      <c r="H28" t="inlineStr">
        <is>
          <t>C++ Fundamentals</t>
        </is>
      </c>
      <c r="I28" t="inlineStr">
        <is>
          <t>Learnyard</t>
        </is>
      </c>
      <c r="J28" t="inlineStr">
        <is>
          <t>Lesson</t>
        </is>
      </c>
    </row>
    <row r="29">
      <c r="A29" t="n">
        <v>28</v>
      </c>
      <c r="B29" t="inlineStr">
        <is>
          <t>Caveats in C++ Arrays</t>
        </is>
      </c>
      <c r="C29">
        <f>HYPERLINK("https://read.learnyard.com/cpp-fundamentals/caveats-in-cpp-arrays/","Solve Problem")</f>
        <v/>
      </c>
      <c r="D29">
        <f>HYPERLINK("https://read.learnyard.com/cpp-fundamentals/caveats-in-cpp-arrays/","Read Article")</f>
        <v/>
      </c>
      <c r="E29" t="inlineStr">
        <is>
          <t>Theory</t>
        </is>
      </c>
      <c r="F29" t="n">
        <v>1</v>
      </c>
      <c r="G29" t="inlineStr">
        <is>
          <t>Programming Fundamentals</t>
        </is>
      </c>
      <c r="H29" t="inlineStr">
        <is>
          <t>C++ Fundamentals</t>
        </is>
      </c>
      <c r="I29" t="inlineStr">
        <is>
          <t>Learnyard</t>
        </is>
      </c>
      <c r="J29" t="inlineStr">
        <is>
          <t>Lesson</t>
        </is>
      </c>
    </row>
    <row r="30">
      <c r="A30" t="n">
        <v>29</v>
      </c>
      <c r="B30" t="inlineStr">
        <is>
          <t>Quiz: Arrays Theory</t>
        </is>
      </c>
      <c r="C30">
        <f>HYPERLINK("https://read.learnyard.com/cpp-fundamentals/quiz-arrays-theory-cpp/","Solve Problem")</f>
        <v/>
      </c>
      <c r="D30">
        <f>HYPERLINK("https://read.learnyard.com/cpp-fundamentals/quiz-arrays-theory-cpp/","Read Article")</f>
        <v/>
      </c>
      <c r="E30" t="inlineStr">
        <is>
          <t>Theory</t>
        </is>
      </c>
      <c r="F30" t="n">
        <v>1</v>
      </c>
      <c r="G30" t="inlineStr">
        <is>
          <t>Programming Fundamentals</t>
        </is>
      </c>
      <c r="H30" t="inlineStr">
        <is>
          <t>C++ Fundamentals</t>
        </is>
      </c>
      <c r="I30" t="inlineStr">
        <is>
          <t>Learnyard</t>
        </is>
      </c>
      <c r="J30" t="inlineStr">
        <is>
          <t>Lesson</t>
        </is>
      </c>
    </row>
    <row r="31">
      <c r="A31" t="n">
        <v>30</v>
      </c>
      <c r="B31" t="inlineStr">
        <is>
          <t>Ranged For Loops</t>
        </is>
      </c>
      <c r="C31">
        <f>HYPERLINK("https://read.learnyard.com/cpp-fundamentals/ranged-for-loop-in-cpp/","Solve Problem")</f>
        <v/>
      </c>
      <c r="D31">
        <f>HYPERLINK("https://read.learnyard.com/cpp-fundamentals/ranged-for-loop-in-cpp/","Read Article")</f>
        <v/>
      </c>
      <c r="E31" t="inlineStr">
        <is>
          <t>Theory</t>
        </is>
      </c>
      <c r="F31" t="n">
        <v>1</v>
      </c>
      <c r="G31" t="inlineStr">
        <is>
          <t>Programming Fundamentals</t>
        </is>
      </c>
      <c r="H31" t="inlineStr">
        <is>
          <t>C++ Fundamentals</t>
        </is>
      </c>
      <c r="I31" t="inlineStr">
        <is>
          <t>Learnyard</t>
        </is>
      </c>
      <c r="J31" t="inlineStr">
        <is>
          <t>Lesson</t>
        </is>
      </c>
    </row>
    <row r="32">
      <c r="A32" t="n">
        <v>31</v>
      </c>
      <c r="B32" t="inlineStr">
        <is>
          <t>Arrays and Functions</t>
        </is>
      </c>
      <c r="C32">
        <f>HYPERLINK("https://read.learnyard.com/cpp-fundamentals/arrays-and-functions-cpp/","Solve Problem")</f>
        <v/>
      </c>
      <c r="D32">
        <f>HYPERLINK("https://read.learnyard.com/cpp-fundamentals/arrays-and-functions-cpp/","Read Article")</f>
        <v/>
      </c>
      <c r="E32" t="inlineStr">
        <is>
          <t>Theory</t>
        </is>
      </c>
      <c r="F32" t="n">
        <v>1</v>
      </c>
      <c r="G32" t="inlineStr">
        <is>
          <t>Programming Fundamentals</t>
        </is>
      </c>
      <c r="H32" t="inlineStr">
        <is>
          <t>C++ Fundamentals</t>
        </is>
      </c>
      <c r="I32" t="inlineStr">
        <is>
          <t>Learnyard</t>
        </is>
      </c>
      <c r="J32" t="inlineStr">
        <is>
          <t>Lesson</t>
        </is>
      </c>
    </row>
    <row r="33">
      <c r="A33" t="n">
        <v>32</v>
      </c>
      <c r="B33" t="inlineStr">
        <is>
          <t>Passing Array in Functions</t>
        </is>
      </c>
      <c r="C33">
        <f>HYPERLINK("https://read.learnyard.com/cpp-fundamentals/passing-array-in-functions-cpp/","Solve Problem")</f>
        <v/>
      </c>
      <c r="D33">
        <f>HYPERLINK("https://read.learnyard.com/cpp-fundamentals/passing-array-in-functions-cpp/","Read Article")</f>
        <v/>
      </c>
      <c r="E33" t="inlineStr">
        <is>
          <t>Theory</t>
        </is>
      </c>
      <c r="F33" t="n">
        <v>1</v>
      </c>
      <c r="G33" t="inlineStr">
        <is>
          <t>Programming Fundamentals</t>
        </is>
      </c>
      <c r="H33" t="inlineStr">
        <is>
          <t>C++ Fundamentals</t>
        </is>
      </c>
      <c r="I33" t="inlineStr">
        <is>
          <t>Learnyard</t>
        </is>
      </c>
      <c r="J33" t="inlineStr">
        <is>
          <t>Lesson</t>
        </is>
      </c>
    </row>
    <row r="34">
      <c r="A34" t="n">
        <v>33</v>
      </c>
      <c r="B34" t="inlineStr">
        <is>
          <t>Vector Basics</t>
        </is>
      </c>
      <c r="C34">
        <f>HYPERLINK("https://read.learnyard.com/cpp-fundamentals/vectors-cpp/","Solve Problem")</f>
        <v/>
      </c>
      <c r="D34">
        <f>HYPERLINK("https://read.learnyard.com/cpp-fundamentals/vectors-cpp/","Read Article")</f>
        <v/>
      </c>
      <c r="E34" t="inlineStr">
        <is>
          <t>Theory</t>
        </is>
      </c>
      <c r="F34" t="n">
        <v>1</v>
      </c>
      <c r="G34" t="inlineStr">
        <is>
          <t>Programming Fundamentals</t>
        </is>
      </c>
      <c r="H34" t="inlineStr">
        <is>
          <t>C++ Fundamentals</t>
        </is>
      </c>
      <c r="I34" t="inlineStr">
        <is>
          <t>Learnyard</t>
        </is>
      </c>
      <c r="J34" t="inlineStr">
        <is>
          <t>Lesson</t>
        </is>
      </c>
    </row>
    <row r="35">
      <c r="A35" t="n">
        <v>34</v>
      </c>
      <c r="B35" t="inlineStr">
        <is>
          <t>Vector Implementation - 1</t>
        </is>
      </c>
      <c r="C35">
        <f>HYPERLINK("https://read.learnyard.com/cpp-fundamentals/vector-implementation-1-cpp/","Solve Problem")</f>
        <v/>
      </c>
      <c r="D35">
        <f>HYPERLINK("https://read.learnyard.com/cpp-fundamentals/vector-implementation-1-cpp/","Read Article")</f>
        <v/>
      </c>
      <c r="E35" t="inlineStr">
        <is>
          <t>Theory</t>
        </is>
      </c>
      <c r="F35" t="n">
        <v>1</v>
      </c>
      <c r="G35" t="inlineStr">
        <is>
          <t>Programming Fundamentals</t>
        </is>
      </c>
      <c r="H35" t="inlineStr">
        <is>
          <t>C++ Fundamentals</t>
        </is>
      </c>
      <c r="I35" t="inlineStr">
        <is>
          <t>Learnyard</t>
        </is>
      </c>
      <c r="J35" t="inlineStr">
        <is>
          <t>Lesson</t>
        </is>
      </c>
    </row>
    <row r="36">
      <c r="A36" t="n">
        <v>35</v>
      </c>
      <c r="B36" t="inlineStr">
        <is>
          <t>Vector Implementation - 2</t>
        </is>
      </c>
      <c r="C36">
        <f>HYPERLINK("https://read.learnyard.com/cpp-fundamentals/vector-implementation-2-cpp/","Solve Problem")</f>
        <v/>
      </c>
      <c r="D36">
        <f>HYPERLINK("https://read.learnyard.com/cpp-fundamentals/vector-implementation-2-cpp/","Read Article")</f>
        <v/>
      </c>
      <c r="E36" t="inlineStr">
        <is>
          <t>Theory</t>
        </is>
      </c>
      <c r="F36" t="n">
        <v>1</v>
      </c>
      <c r="G36" t="inlineStr">
        <is>
          <t>Programming Fundamentals</t>
        </is>
      </c>
      <c r="H36" t="inlineStr">
        <is>
          <t>C++ Fundamentals</t>
        </is>
      </c>
      <c r="I36" t="inlineStr">
        <is>
          <t>Learnyard</t>
        </is>
      </c>
      <c r="J36" t="inlineStr">
        <is>
          <t>Lesson</t>
        </is>
      </c>
    </row>
    <row r="37">
      <c r="A37" t="n">
        <v>36</v>
      </c>
      <c r="B37" t="inlineStr">
        <is>
          <t>Quiz: Vectors</t>
        </is>
      </c>
      <c r="C37">
        <f>HYPERLINK("https://read.learnyard.com/cpp-fundamentals/quiz-vectors-cpp/","Solve Problem")</f>
        <v/>
      </c>
      <c r="D37">
        <f>HYPERLINK("https://read.learnyard.com/cpp-fundamentals/quiz-vectors-cpp/","Read Article")</f>
        <v/>
      </c>
      <c r="E37" t="inlineStr">
        <is>
          <t>Theory</t>
        </is>
      </c>
      <c r="F37" t="n">
        <v>1</v>
      </c>
      <c r="G37" t="inlineStr">
        <is>
          <t>Programming Fundamentals</t>
        </is>
      </c>
      <c r="H37" t="inlineStr">
        <is>
          <t>C++ Fundamentals</t>
        </is>
      </c>
      <c r="I37" t="inlineStr">
        <is>
          <t>Learnyard</t>
        </is>
      </c>
      <c r="J37" t="inlineStr">
        <is>
          <t>Lesson</t>
        </is>
      </c>
    </row>
    <row r="38">
      <c r="A38" t="n">
        <v>37</v>
      </c>
      <c r="B38" t="inlineStr">
        <is>
          <t>Multi-dimensional arrays in C++</t>
        </is>
      </c>
      <c r="C38">
        <f>HYPERLINK("https://read.learnyard.com/cpp-fundamentals/multi-dimensional-arrays-cpp/","Solve Problem")</f>
        <v/>
      </c>
      <c r="D38">
        <f>HYPERLINK("https://read.learnyard.com/cpp-fundamentals/multi-dimensional-arrays-cpp/","Read Article")</f>
        <v/>
      </c>
      <c r="E38" t="inlineStr">
        <is>
          <t>Theory</t>
        </is>
      </c>
      <c r="F38" t="n">
        <v>1</v>
      </c>
      <c r="G38" t="inlineStr">
        <is>
          <t>Programming Fundamentals</t>
        </is>
      </c>
      <c r="H38" t="inlineStr">
        <is>
          <t>C++ Fundamentals</t>
        </is>
      </c>
      <c r="I38" t="inlineStr">
        <is>
          <t>Learnyard</t>
        </is>
      </c>
      <c r="J38" t="inlineStr">
        <is>
          <t>Lesson</t>
        </is>
      </c>
    </row>
    <row r="39">
      <c r="A39" t="n">
        <v>38</v>
      </c>
      <c r="B39" t="inlineStr">
        <is>
          <t>Strings</t>
        </is>
      </c>
      <c r="C39">
        <f>HYPERLINK("https://read.learnyard.com/cpp-fundamentals/strings-in-cpp/","Solve Problem")</f>
        <v/>
      </c>
      <c r="D39">
        <f>HYPERLINK("https://read.learnyard.com/cpp-fundamentals/strings-in-cpp/","Read Article")</f>
        <v/>
      </c>
      <c r="E39" t="inlineStr">
        <is>
          <t>Theory</t>
        </is>
      </c>
      <c r="F39" t="n">
        <v>1</v>
      </c>
      <c r="G39" t="inlineStr">
        <is>
          <t>Programming Fundamentals</t>
        </is>
      </c>
      <c r="H39" t="inlineStr">
        <is>
          <t>C++ Fundamentals</t>
        </is>
      </c>
      <c r="I39" t="inlineStr">
        <is>
          <t>Learnyard</t>
        </is>
      </c>
      <c r="J39" t="inlineStr">
        <is>
          <t>Lesson</t>
        </is>
      </c>
    </row>
    <row r="40">
      <c r="A40" t="n">
        <v>39</v>
      </c>
      <c r="B40" t="inlineStr">
        <is>
          <t>Taking Input in Strings</t>
        </is>
      </c>
      <c r="C40">
        <f>HYPERLINK("https://read.learnyard.com/cpp-fundamentals/taking-input-in-strings-cpp/","Solve Problem")</f>
        <v/>
      </c>
      <c r="D40">
        <f>HYPERLINK("https://read.learnyard.com/cpp-fundamentals/taking-input-in-strings-cpp/","Read Article")</f>
        <v/>
      </c>
      <c r="E40" t="inlineStr">
        <is>
          <t>Theory</t>
        </is>
      </c>
      <c r="F40" t="n">
        <v>1</v>
      </c>
      <c r="G40" t="inlineStr">
        <is>
          <t>Programming Fundamentals</t>
        </is>
      </c>
      <c r="H40" t="inlineStr">
        <is>
          <t>C++ Fundamentals</t>
        </is>
      </c>
      <c r="I40" t="inlineStr">
        <is>
          <t>Learnyard</t>
        </is>
      </c>
      <c r="J40" t="inlineStr">
        <is>
          <t>Lesson</t>
        </is>
      </c>
    </row>
    <row r="41">
      <c r="A41" t="n">
        <v>40</v>
      </c>
      <c r="B41" t="inlineStr">
        <is>
          <t>String vs Arrays</t>
        </is>
      </c>
      <c r="C41">
        <f>HYPERLINK("https://read.learnyard.com/cpp-fundamentals/string-vs-arrays-in-cpp/","Solve Problem")</f>
        <v/>
      </c>
      <c r="D41">
        <f>HYPERLINK("https://read.learnyard.com/cpp-fundamentals/string-vs-arrays-in-cpp/","Read Article")</f>
        <v/>
      </c>
      <c r="E41" t="inlineStr">
        <is>
          <t>Theory</t>
        </is>
      </c>
      <c r="F41" t="n">
        <v>1</v>
      </c>
      <c r="G41" t="inlineStr">
        <is>
          <t>Programming Fundamentals</t>
        </is>
      </c>
      <c r="H41" t="inlineStr">
        <is>
          <t>C++ Fundamentals</t>
        </is>
      </c>
      <c r="I41" t="inlineStr">
        <is>
          <t>Learnyard</t>
        </is>
      </c>
      <c r="J41" t="inlineStr">
        <is>
          <t>Lesson</t>
        </is>
      </c>
    </row>
    <row r="42">
      <c r="A42" t="n">
        <v>41</v>
      </c>
      <c r="B42" t="inlineStr">
        <is>
          <t>Basic Functions of String</t>
        </is>
      </c>
      <c r="C42">
        <f>HYPERLINK("https://read.learnyard.com/cpp-fundamentals/basic-functions-of-string-cpp/","Solve Problem")</f>
        <v/>
      </c>
      <c r="D42">
        <f>HYPERLINK("https://read.learnyard.com/cpp-fundamentals/basic-functions-of-string-cpp/","Read Article")</f>
        <v/>
      </c>
      <c r="E42" t="inlineStr">
        <is>
          <t>Theory</t>
        </is>
      </c>
      <c r="F42" t="n">
        <v>1</v>
      </c>
      <c r="G42" t="inlineStr">
        <is>
          <t>Programming Fundamentals</t>
        </is>
      </c>
      <c r="H42" t="inlineStr">
        <is>
          <t>C++ Fundamentals</t>
        </is>
      </c>
      <c r="I42" t="inlineStr">
        <is>
          <t>Learnyard</t>
        </is>
      </c>
      <c r="J42" t="inlineStr">
        <is>
          <t>Lesson</t>
        </is>
      </c>
    </row>
    <row r="43">
      <c r="A43" t="n">
        <v>42</v>
      </c>
      <c r="B43" t="inlineStr">
        <is>
          <t>What is Java?</t>
        </is>
      </c>
      <c r="C43">
        <f>HYPERLINK("https://read.learnyard.com/java-fundamentals/what-is-java/","Solve Problem")</f>
        <v/>
      </c>
      <c r="D43">
        <f>HYPERLINK("https://read.learnyard.com/java-fundamentals/what-is-java/","Read Article")</f>
        <v/>
      </c>
      <c r="E43" t="inlineStr">
        <is>
          <t>Theory</t>
        </is>
      </c>
      <c r="F43" t="n">
        <v>1</v>
      </c>
      <c r="G43" t="inlineStr">
        <is>
          <t>Programming Fundamentals</t>
        </is>
      </c>
      <c r="H43" t="inlineStr">
        <is>
          <t>Java Fundamentals</t>
        </is>
      </c>
      <c r="I43" t="inlineStr">
        <is>
          <t>Learnyard</t>
        </is>
      </c>
      <c r="J43" t="inlineStr">
        <is>
          <t>Lesson</t>
        </is>
      </c>
    </row>
    <row r="44">
      <c r="A44" t="n">
        <v>43</v>
      </c>
      <c r="B44" t="inlineStr">
        <is>
          <t>Features of Java</t>
        </is>
      </c>
      <c r="C44">
        <f>HYPERLINK("https://read.learnyard.com/java-fundamentals/features-of-java/","Solve Problem")</f>
        <v/>
      </c>
      <c r="D44">
        <f>HYPERLINK("https://read.learnyard.com/java-fundamentals/features-of-java/","Read Article")</f>
        <v/>
      </c>
      <c r="E44" t="inlineStr">
        <is>
          <t>Theory</t>
        </is>
      </c>
      <c r="F44" t="n">
        <v>1</v>
      </c>
      <c r="G44" t="inlineStr">
        <is>
          <t>Programming Fundamentals</t>
        </is>
      </c>
      <c r="H44" t="inlineStr">
        <is>
          <t>Java Fundamentals</t>
        </is>
      </c>
      <c r="I44" t="inlineStr">
        <is>
          <t>Learnyard</t>
        </is>
      </c>
      <c r="J44" t="inlineStr">
        <is>
          <t>Lesson</t>
        </is>
      </c>
    </row>
    <row r="45">
      <c r="A45" t="n">
        <v>44</v>
      </c>
      <c r="B45" t="inlineStr">
        <is>
          <t>Java vs C++</t>
        </is>
      </c>
      <c r="C45">
        <f>HYPERLINK("https://read.learnyard.com/java-fundamentals/java-vs-cpp/","Solve Problem")</f>
        <v/>
      </c>
      <c r="D45">
        <f>HYPERLINK("https://read.learnyard.com/java-fundamentals/java-vs-cpp/","Read Article")</f>
        <v/>
      </c>
      <c r="E45" t="inlineStr">
        <is>
          <t>Theory</t>
        </is>
      </c>
      <c r="F45" t="n">
        <v>1</v>
      </c>
      <c r="G45" t="inlineStr">
        <is>
          <t>Programming Fundamentals</t>
        </is>
      </c>
      <c r="H45" t="inlineStr">
        <is>
          <t>Java Fundamentals</t>
        </is>
      </c>
      <c r="I45" t="inlineStr">
        <is>
          <t>Learnyard</t>
        </is>
      </c>
      <c r="J45" t="inlineStr">
        <is>
          <t>Lesson</t>
        </is>
      </c>
    </row>
    <row r="46">
      <c r="A46" t="n">
        <v>45</v>
      </c>
      <c r="B46" t="inlineStr">
        <is>
          <t>JVM, JRE, and JDK</t>
        </is>
      </c>
      <c r="C46">
        <f>HYPERLINK("https://read.learnyard.com/java-fundamentals/jvm-jre-jdk/","Solve Problem")</f>
        <v/>
      </c>
      <c r="D46">
        <f>HYPERLINK("https://read.learnyard.com/java-fundamentals/jvm-jre-jdk/","Read Article")</f>
        <v/>
      </c>
      <c r="E46" t="inlineStr">
        <is>
          <t>Theory</t>
        </is>
      </c>
      <c r="F46" t="n">
        <v>1</v>
      </c>
      <c r="G46" t="inlineStr">
        <is>
          <t>Programming Fundamentals</t>
        </is>
      </c>
      <c r="H46" t="inlineStr">
        <is>
          <t>Java Fundamentals</t>
        </is>
      </c>
      <c r="I46" t="inlineStr">
        <is>
          <t>Learnyard</t>
        </is>
      </c>
      <c r="J46" t="inlineStr">
        <is>
          <t>Lesson</t>
        </is>
      </c>
    </row>
    <row r="47">
      <c r="A47" t="n">
        <v>46</v>
      </c>
      <c r="B47" t="inlineStr">
        <is>
          <t>First Program in Java</t>
        </is>
      </c>
      <c r="C47">
        <f>HYPERLINK("https://read.learnyard.com/java-fundamentals/first-program-in-java/","Solve Problem")</f>
        <v/>
      </c>
      <c r="D47">
        <f>HYPERLINK("https://read.learnyard.com/java-fundamentals/first-program-in-java/","Read Article")</f>
        <v/>
      </c>
      <c r="E47" t="inlineStr">
        <is>
          <t>Theory</t>
        </is>
      </c>
      <c r="F47" t="n">
        <v>1</v>
      </c>
      <c r="G47" t="inlineStr">
        <is>
          <t>Programming Fundamentals</t>
        </is>
      </c>
      <c r="H47" t="inlineStr">
        <is>
          <t>Java Fundamentals</t>
        </is>
      </c>
      <c r="I47" t="inlineStr">
        <is>
          <t>Learnyard</t>
        </is>
      </c>
      <c r="J47" t="inlineStr">
        <is>
          <t>Lesson</t>
        </is>
      </c>
    </row>
    <row r="48">
      <c r="A48" t="n">
        <v>47</v>
      </c>
      <c r="B48" t="inlineStr">
        <is>
          <t>Comments and Statements</t>
        </is>
      </c>
      <c r="C48">
        <f>HYPERLINK("https://read.learnyard.com/java-fundamentals/comments-and-statements-in-java/","Solve Problem")</f>
        <v/>
      </c>
      <c r="D48">
        <f>HYPERLINK("https://read.learnyard.com/java-fundamentals/comments-and-statements-in-java/","Read Article")</f>
        <v/>
      </c>
      <c r="E48" t="inlineStr">
        <is>
          <t>Theory</t>
        </is>
      </c>
      <c r="F48" t="n">
        <v>1</v>
      </c>
      <c r="G48" t="inlineStr">
        <is>
          <t>Programming Fundamentals</t>
        </is>
      </c>
      <c r="H48" t="inlineStr">
        <is>
          <t>Java Fundamentals</t>
        </is>
      </c>
      <c r="I48" t="inlineStr">
        <is>
          <t>Learnyard</t>
        </is>
      </c>
      <c r="J48" t="inlineStr">
        <is>
          <t>Lesson</t>
        </is>
      </c>
    </row>
    <row r="49">
      <c r="A49" t="n">
        <v>48</v>
      </c>
      <c r="B49" t="inlineStr">
        <is>
          <t>Literals in Java</t>
        </is>
      </c>
      <c r="C49">
        <f>HYPERLINK("https://read.learnyard.com/java-fundamentals/literals-in-java/","Solve Problem")</f>
        <v/>
      </c>
      <c r="D49">
        <f>HYPERLINK("https://read.learnyard.com/java-fundamentals/literals-in-java/","Read Article")</f>
        <v/>
      </c>
      <c r="E49" t="inlineStr">
        <is>
          <t>Theory</t>
        </is>
      </c>
      <c r="F49" t="n">
        <v>1</v>
      </c>
      <c r="G49" t="inlineStr">
        <is>
          <t>Programming Fundamentals</t>
        </is>
      </c>
      <c r="H49" t="inlineStr">
        <is>
          <t>Java Fundamentals</t>
        </is>
      </c>
      <c r="I49" t="inlineStr">
        <is>
          <t>Learnyard</t>
        </is>
      </c>
      <c r="J49" t="inlineStr">
        <is>
          <t>Lesson</t>
        </is>
      </c>
    </row>
    <row r="50">
      <c r="A50" t="n">
        <v>49</v>
      </c>
      <c r="B50" t="inlineStr">
        <is>
          <t>Variables in Java</t>
        </is>
      </c>
      <c r="C50">
        <f>HYPERLINK("https://read.learnyard.com/java-fundamentals/variables-in-java/","Solve Problem")</f>
        <v/>
      </c>
      <c r="D50">
        <f>HYPERLINK("https://read.learnyard.com/java-fundamentals/variables-in-java/","Read Article")</f>
        <v/>
      </c>
      <c r="E50" t="inlineStr">
        <is>
          <t>Theory</t>
        </is>
      </c>
      <c r="F50" t="n">
        <v>1</v>
      </c>
      <c r="G50" t="inlineStr">
        <is>
          <t>Programming Fundamentals</t>
        </is>
      </c>
      <c r="H50" t="inlineStr">
        <is>
          <t>Java Fundamentals</t>
        </is>
      </c>
      <c r="I50" t="inlineStr">
        <is>
          <t>Learnyard</t>
        </is>
      </c>
      <c r="J50" t="inlineStr">
        <is>
          <t>Lesson</t>
        </is>
      </c>
    </row>
    <row r="51">
      <c r="A51" t="n">
        <v>50</v>
      </c>
      <c r="B51" t="inlineStr">
        <is>
          <t>How to Print in Java?</t>
        </is>
      </c>
      <c r="C51">
        <f>HYPERLINK("https://read.learnyard.com/java-fundamentals/how-to-print-in-java/","Solve Problem")</f>
        <v/>
      </c>
      <c r="D51">
        <f>HYPERLINK("https://read.learnyard.com/java-fundamentals/how-to-print-in-java/","Read Article")</f>
        <v/>
      </c>
      <c r="E51" t="inlineStr">
        <is>
          <t>Theory</t>
        </is>
      </c>
      <c r="F51" t="n">
        <v>1</v>
      </c>
      <c r="G51" t="inlineStr">
        <is>
          <t>Programming Fundamentals</t>
        </is>
      </c>
      <c r="H51" t="inlineStr">
        <is>
          <t>Java Fundamentals</t>
        </is>
      </c>
      <c r="I51" t="inlineStr">
        <is>
          <t>Learnyard</t>
        </is>
      </c>
      <c r="J51" t="inlineStr">
        <is>
          <t>Lesson</t>
        </is>
      </c>
    </row>
    <row r="52">
      <c r="A52" t="n">
        <v>51</v>
      </c>
      <c r="B52" t="inlineStr">
        <is>
          <t>Data Types in Java</t>
        </is>
      </c>
      <c r="C52">
        <f>HYPERLINK("https://read.learnyard.com/java-fundamentals/datatypes-in-java/","Solve Problem")</f>
        <v/>
      </c>
      <c r="D52">
        <f>HYPERLINK("https://read.learnyard.com/java-fundamentals/datatypes-in-java/","Read Article")</f>
        <v/>
      </c>
      <c r="E52" t="inlineStr">
        <is>
          <t>Theory</t>
        </is>
      </c>
      <c r="F52" t="n">
        <v>1</v>
      </c>
      <c r="G52" t="inlineStr">
        <is>
          <t>Programming Fundamentals</t>
        </is>
      </c>
      <c r="H52" t="inlineStr">
        <is>
          <t>Java Fundamentals</t>
        </is>
      </c>
      <c r="I52" t="inlineStr">
        <is>
          <t>Learnyard</t>
        </is>
      </c>
      <c r="J52" t="inlineStr">
        <is>
          <t>Lesson</t>
        </is>
      </c>
    </row>
    <row r="53">
      <c r="A53" t="n">
        <v>52</v>
      </c>
      <c r="B53" t="inlineStr">
        <is>
          <t>Operators in Java</t>
        </is>
      </c>
      <c r="C53">
        <f>HYPERLINK("https://read.learnyard.com/java-fundamentals/operators-in-java/","Solve Problem")</f>
        <v/>
      </c>
      <c r="D53">
        <f>HYPERLINK("https://read.learnyard.com/java-fundamentals/operators-in-java/","Read Article")</f>
        <v/>
      </c>
      <c r="E53" t="inlineStr">
        <is>
          <t>Theory</t>
        </is>
      </c>
      <c r="F53" t="n">
        <v>1</v>
      </c>
      <c r="G53" t="inlineStr">
        <is>
          <t>Programming Fundamentals</t>
        </is>
      </c>
      <c r="H53" t="inlineStr">
        <is>
          <t>Java Fundamentals</t>
        </is>
      </c>
      <c r="I53" t="inlineStr">
        <is>
          <t>Learnyard</t>
        </is>
      </c>
      <c r="J53" t="inlineStr">
        <is>
          <t>Lesson</t>
        </is>
      </c>
    </row>
    <row r="54">
      <c r="A54" t="n">
        <v>53</v>
      </c>
      <c r="B54" t="inlineStr">
        <is>
          <t>Arithmetic Operators in Java</t>
        </is>
      </c>
      <c r="C54">
        <f>HYPERLINK("https://read.learnyard.com/java-fundamentals/arithmetic-operators-in-java/","Solve Problem")</f>
        <v/>
      </c>
      <c r="D54">
        <f>HYPERLINK("https://read.learnyard.com/java-fundamentals/arithmetic-operators-in-java/","Read Article")</f>
        <v/>
      </c>
      <c r="E54" t="inlineStr">
        <is>
          <t>Theory</t>
        </is>
      </c>
      <c r="F54" t="n">
        <v>1</v>
      </c>
      <c r="G54" t="inlineStr">
        <is>
          <t>Programming Fundamentals</t>
        </is>
      </c>
      <c r="H54" t="inlineStr">
        <is>
          <t>Java Fundamentals</t>
        </is>
      </c>
      <c r="I54" t="inlineStr">
        <is>
          <t>Learnyard</t>
        </is>
      </c>
      <c r="J54" t="inlineStr">
        <is>
          <t>Lesson</t>
        </is>
      </c>
    </row>
    <row r="55">
      <c r="A55" t="n">
        <v>54</v>
      </c>
      <c r="B55" t="inlineStr">
        <is>
          <t>Multiple Operators in Java</t>
        </is>
      </c>
      <c r="C55">
        <f>HYPERLINK("https://read.learnyard.com/java-fundamentals/multiple-operators-in-java/","Solve Problem")</f>
        <v/>
      </c>
      <c r="D55">
        <f>HYPERLINK("https://read.learnyard.com/java-fundamentals/multiple-operators-in-java/","Read Article")</f>
        <v/>
      </c>
      <c r="E55" t="inlineStr">
        <is>
          <t>Theory</t>
        </is>
      </c>
      <c r="F55" t="n">
        <v>1</v>
      </c>
      <c r="G55" t="inlineStr">
        <is>
          <t>Programming Fundamentals</t>
        </is>
      </c>
      <c r="H55" t="inlineStr">
        <is>
          <t>Java Fundamentals</t>
        </is>
      </c>
      <c r="I55" t="inlineStr">
        <is>
          <t>Learnyard</t>
        </is>
      </c>
      <c r="J55" t="inlineStr">
        <is>
          <t>Lesson</t>
        </is>
      </c>
    </row>
    <row r="56">
      <c r="A56" t="n">
        <v>55</v>
      </c>
      <c r="B56" t="inlineStr">
        <is>
          <t>Type Conversion in Java</t>
        </is>
      </c>
      <c r="C56">
        <f>HYPERLINK("https://read.learnyard.com/java-fundamentals/type-conversion-in-java/","Solve Problem")</f>
        <v/>
      </c>
      <c r="D56">
        <f>HYPERLINK("https://read.learnyard.com/java-fundamentals/type-conversion-in-java/","Read Article")</f>
        <v/>
      </c>
      <c r="E56" t="inlineStr">
        <is>
          <t>Theory</t>
        </is>
      </c>
      <c r="F56" t="n">
        <v>1</v>
      </c>
      <c r="G56" t="inlineStr">
        <is>
          <t>Programming Fundamentals</t>
        </is>
      </c>
      <c r="H56" t="inlineStr">
        <is>
          <t>Java Fundamentals</t>
        </is>
      </c>
      <c r="I56" t="inlineStr">
        <is>
          <t>Learnyard</t>
        </is>
      </c>
      <c r="J56" t="inlineStr">
        <is>
          <t>Lesson</t>
        </is>
      </c>
    </row>
    <row r="57">
      <c r="A57" t="n">
        <v>56</v>
      </c>
      <c r="B57" t="inlineStr">
        <is>
          <t>User Input in Java</t>
        </is>
      </c>
      <c r="C57">
        <f>HYPERLINK("https://read.learnyard.com/java-fundamentals/user-input-in-java/","Solve Problem")</f>
        <v/>
      </c>
      <c r="D57">
        <f>HYPERLINK("https://read.learnyard.com/java-fundamentals/user-input-in-java/","Read Article")</f>
        <v/>
      </c>
      <c r="E57" t="inlineStr">
        <is>
          <t>Theory</t>
        </is>
      </c>
      <c r="F57" t="n">
        <v>1</v>
      </c>
      <c r="G57" t="inlineStr">
        <is>
          <t>Programming Fundamentals</t>
        </is>
      </c>
      <c r="H57" t="inlineStr">
        <is>
          <t>Java Fundamentals</t>
        </is>
      </c>
      <c r="I57" t="inlineStr">
        <is>
          <t>Learnyard</t>
        </is>
      </c>
      <c r="J57" t="inlineStr">
        <is>
          <t>Lesson</t>
        </is>
      </c>
    </row>
    <row r="58">
      <c r="A58" t="n">
        <v>57</v>
      </c>
      <c r="B58" t="inlineStr">
        <is>
          <t>Making Logical Decisions in Programming: Comparing Values and Variables</t>
        </is>
      </c>
      <c r="C58">
        <f>HYPERLINK("https://read.learnyard.com/java-fundamentals/making-logical-decisions-in-programming-comparing-values-and-variables-java/","Solve Problem")</f>
        <v/>
      </c>
      <c r="D58">
        <f>HYPERLINK("https://read.learnyard.com/java-fundamentals/making-logical-decisions-in-programming-comparing-values-and-variables-java/","Read Article")</f>
        <v/>
      </c>
      <c r="E58" t="inlineStr">
        <is>
          <t>Theory</t>
        </is>
      </c>
      <c r="F58" t="n">
        <v>1</v>
      </c>
      <c r="G58" t="inlineStr">
        <is>
          <t>Programming Fundamentals</t>
        </is>
      </c>
      <c r="H58" t="inlineStr">
        <is>
          <t>Java Fundamentals</t>
        </is>
      </c>
      <c r="I58" t="inlineStr">
        <is>
          <t>Learnyard</t>
        </is>
      </c>
      <c r="J58" t="inlineStr">
        <is>
          <t>Lesson</t>
        </is>
      </c>
    </row>
    <row r="59">
      <c r="A59" t="n">
        <v>58</v>
      </c>
      <c r="B59" t="inlineStr">
        <is>
          <t>If-Else Statement in Java</t>
        </is>
      </c>
      <c r="C59">
        <f>HYPERLINK("https://read.learnyard.com/java-fundamentals/if-else-statement-in-java/","Solve Problem")</f>
        <v/>
      </c>
      <c r="D59">
        <f>HYPERLINK("https://read.learnyard.com/java-fundamentals/if-else-statement-in-java/","Read Article")</f>
        <v/>
      </c>
      <c r="E59" t="inlineStr">
        <is>
          <t>Theory</t>
        </is>
      </c>
      <c r="F59" t="n">
        <v>1</v>
      </c>
      <c r="G59" t="inlineStr">
        <is>
          <t>Programming Fundamentals</t>
        </is>
      </c>
      <c r="H59" t="inlineStr">
        <is>
          <t>Java Fundamentals</t>
        </is>
      </c>
      <c r="I59" t="inlineStr">
        <is>
          <t>Learnyard</t>
        </is>
      </c>
      <c r="J59" t="inlineStr">
        <is>
          <t>Lesson</t>
        </is>
      </c>
    </row>
    <row r="60">
      <c r="A60" t="n">
        <v>59</v>
      </c>
      <c r="B60" t="inlineStr">
        <is>
          <t>While Loop in Java</t>
        </is>
      </c>
      <c r="C60">
        <f>HYPERLINK("https://read.learnyard.com/java-fundamentals/while-loop-in-java/","Solve Problem")</f>
        <v/>
      </c>
      <c r="D60">
        <f>HYPERLINK("https://read.learnyard.com/java-fundamentals/while-loop-in-java/","Read Article")</f>
        <v/>
      </c>
      <c r="E60" t="inlineStr">
        <is>
          <t>Theory</t>
        </is>
      </c>
      <c r="F60" t="n">
        <v>1</v>
      </c>
      <c r="G60" t="inlineStr">
        <is>
          <t>Programming Fundamentals</t>
        </is>
      </c>
      <c r="H60" t="inlineStr">
        <is>
          <t>Java Fundamentals</t>
        </is>
      </c>
      <c r="I60" t="inlineStr">
        <is>
          <t>Learnyard</t>
        </is>
      </c>
      <c r="J60" t="inlineStr">
        <is>
          <t>Lesson</t>
        </is>
      </c>
    </row>
    <row r="61">
      <c r="A61" t="n">
        <v>60</v>
      </c>
      <c r="B61" t="inlineStr">
        <is>
          <t>For Loop in Java</t>
        </is>
      </c>
      <c r="C61">
        <f>HYPERLINK("https://read.learnyard.com/java-fundamentals/for-loop-in-java/","Solve Problem")</f>
        <v/>
      </c>
      <c r="D61">
        <f>HYPERLINK("https://read.learnyard.com/java-fundamentals/for-loop-in-java/","Read Article")</f>
        <v/>
      </c>
      <c r="E61" t="inlineStr">
        <is>
          <t>Theory</t>
        </is>
      </c>
      <c r="F61" t="n">
        <v>1</v>
      </c>
      <c r="G61" t="inlineStr">
        <is>
          <t>Programming Fundamentals</t>
        </is>
      </c>
      <c r="H61" t="inlineStr">
        <is>
          <t>Java Fundamentals</t>
        </is>
      </c>
      <c r="I61" t="inlineStr">
        <is>
          <t>Learnyard</t>
        </is>
      </c>
      <c r="J61" t="inlineStr">
        <is>
          <t>Lesson</t>
        </is>
      </c>
    </row>
    <row r="62">
      <c r="A62" t="n">
        <v>61</v>
      </c>
      <c r="B62" t="inlineStr">
        <is>
          <t>Do-While Loop</t>
        </is>
      </c>
      <c r="C62">
        <f>HYPERLINK("https://read.learnyard.com/java-fundamentals/do-while-loop-in-java/","Solve Problem")</f>
        <v/>
      </c>
      <c r="D62">
        <f>HYPERLINK("https://read.learnyard.com/java-fundamentals/do-while-loop-in-java/","Read Article")</f>
        <v/>
      </c>
      <c r="E62" t="inlineStr">
        <is>
          <t>Theory</t>
        </is>
      </c>
      <c r="F62" t="n">
        <v>1</v>
      </c>
      <c r="G62" t="inlineStr">
        <is>
          <t>Programming Fundamentals</t>
        </is>
      </c>
      <c r="H62" t="inlineStr">
        <is>
          <t>Java Fundamentals</t>
        </is>
      </c>
      <c r="I62" t="inlineStr">
        <is>
          <t>Learnyard</t>
        </is>
      </c>
      <c r="J62" t="inlineStr">
        <is>
          <t>Lesson</t>
        </is>
      </c>
    </row>
    <row r="63">
      <c r="A63" t="n">
        <v>62</v>
      </c>
      <c r="B63" t="inlineStr">
        <is>
          <t>Standard Practice Problems in Java</t>
        </is>
      </c>
      <c r="C63">
        <f>HYPERLINK("https://read.learnyard.com/java-fundamentals/standard-practice-problems-java/","Solve Problem")</f>
        <v/>
      </c>
      <c r="D63">
        <f>HYPERLINK("https://read.learnyard.com/java-fundamentals/standard-practice-problems-java/","Read Article")</f>
        <v/>
      </c>
      <c r="E63" t="inlineStr">
        <is>
          <t>Theory</t>
        </is>
      </c>
      <c r="F63" t="n">
        <v>1</v>
      </c>
      <c r="G63" t="inlineStr">
        <is>
          <t>Programming Fundamentals</t>
        </is>
      </c>
      <c r="H63" t="inlineStr">
        <is>
          <t>Java Fundamentals</t>
        </is>
      </c>
      <c r="I63" t="inlineStr">
        <is>
          <t>Learnyard</t>
        </is>
      </c>
      <c r="J63" t="inlineStr">
        <is>
          <t>Lesson</t>
        </is>
      </c>
    </row>
    <row r="64">
      <c r="A64" t="n">
        <v>63</v>
      </c>
      <c r="B64" t="inlineStr">
        <is>
          <t>Break and Continue in Java</t>
        </is>
      </c>
      <c r="C64">
        <f>HYPERLINK("https://read.learnyard.com/java-fundamentals/break-and-continue-in-java/","Solve Problem")</f>
        <v/>
      </c>
      <c r="D64">
        <f>HYPERLINK("https://read.learnyard.com/java-fundamentals/break-and-continue-in-java/","Read Article")</f>
        <v/>
      </c>
      <c r="E64" t="inlineStr">
        <is>
          <t>Theory</t>
        </is>
      </c>
      <c r="F64" t="n">
        <v>1</v>
      </c>
      <c r="G64" t="inlineStr">
        <is>
          <t>Programming Fundamentals</t>
        </is>
      </c>
      <c r="H64" t="inlineStr">
        <is>
          <t>Java Fundamentals</t>
        </is>
      </c>
      <c r="I64" t="inlineStr">
        <is>
          <t>Learnyard</t>
        </is>
      </c>
      <c r="J64" t="inlineStr">
        <is>
          <t>Lesson</t>
        </is>
      </c>
    </row>
    <row r="65">
      <c r="A65" t="n">
        <v>64</v>
      </c>
      <c r="B65" t="inlineStr">
        <is>
          <t>Switch Statement in Java</t>
        </is>
      </c>
      <c r="C65">
        <f>HYPERLINK("https://read.learnyard.com/java-fundamentals/switch-statement-in-java/","Solve Problem")</f>
        <v/>
      </c>
      <c r="D65">
        <f>HYPERLINK("https://read.learnyard.com/java-fundamentals/switch-statement-in-java/","Read Article")</f>
        <v/>
      </c>
      <c r="E65" t="inlineStr">
        <is>
          <t>Theory</t>
        </is>
      </c>
      <c r="F65" t="n">
        <v>1</v>
      </c>
      <c r="G65" t="inlineStr">
        <is>
          <t>Programming Fundamentals</t>
        </is>
      </c>
      <c r="H65" t="inlineStr">
        <is>
          <t>Java Fundamentals</t>
        </is>
      </c>
      <c r="I65" t="inlineStr">
        <is>
          <t>Learnyard</t>
        </is>
      </c>
      <c r="J65" t="inlineStr">
        <is>
          <t>Lesson</t>
        </is>
      </c>
    </row>
    <row r="66">
      <c r="A66" t="n">
        <v>65</v>
      </c>
      <c r="B66" t="inlineStr">
        <is>
          <t>Arrays in Java</t>
        </is>
      </c>
      <c r="C66">
        <f>HYPERLINK("https://read.learnyard.com/java-fundamentals/arrays-in-java/","Solve Problem")</f>
        <v/>
      </c>
      <c r="D66">
        <f>HYPERLINK("https://read.learnyard.com/java-fundamentals/arrays-in-java/","Read Article")</f>
        <v/>
      </c>
      <c r="E66" t="inlineStr">
        <is>
          <t>Theory</t>
        </is>
      </c>
      <c r="F66" t="n">
        <v>1</v>
      </c>
      <c r="G66" t="inlineStr">
        <is>
          <t>Programming Fundamentals</t>
        </is>
      </c>
      <c r="H66" t="inlineStr">
        <is>
          <t>Java Fundamentals</t>
        </is>
      </c>
      <c r="I66" t="inlineStr">
        <is>
          <t>Learnyard</t>
        </is>
      </c>
      <c r="J66" t="inlineStr">
        <is>
          <t>Lesson</t>
        </is>
      </c>
    </row>
    <row r="67">
      <c r="A67" t="n">
        <v>66</v>
      </c>
      <c r="B67" t="inlineStr">
        <is>
          <t>Types of Array in Java</t>
        </is>
      </c>
      <c r="C67">
        <f>HYPERLINK("https://read.learnyard.com/java-fundamentals/types-of-array-in-java//","Solve Problem")</f>
        <v/>
      </c>
      <c r="D67">
        <f>HYPERLINK("https://read.learnyard.com/java-fundamentals/types-of-array-in-java/","Read Article")</f>
        <v/>
      </c>
      <c r="E67" t="inlineStr">
        <is>
          <t>Theory</t>
        </is>
      </c>
      <c r="F67" t="n">
        <v>1</v>
      </c>
      <c r="G67" t="inlineStr">
        <is>
          <t>Programming Fundamentals</t>
        </is>
      </c>
      <c r="H67" t="inlineStr">
        <is>
          <t>Java Fundamentals</t>
        </is>
      </c>
      <c r="I67" t="inlineStr">
        <is>
          <t>Learnyard</t>
        </is>
      </c>
      <c r="J67" t="inlineStr">
        <is>
          <t>Lesson</t>
        </is>
      </c>
    </row>
    <row r="68">
      <c r="A68" t="n">
        <v>67</v>
      </c>
      <c r="B68" t="inlineStr">
        <is>
          <t>Iterating Through Arrays</t>
        </is>
      </c>
      <c r="C68">
        <f>HYPERLINK("https://read.learnyard.com/java-fundamentals/iterating-through-arrays-java/","Solve Problem")</f>
        <v/>
      </c>
      <c r="D68">
        <f>HYPERLINK("https://read.learnyard.com/java-fundamentals/iterating-through-arrays-java/","Read Article")</f>
        <v/>
      </c>
      <c r="E68" t="inlineStr">
        <is>
          <t>Theory</t>
        </is>
      </c>
      <c r="F68" t="n">
        <v>1</v>
      </c>
      <c r="G68" t="inlineStr">
        <is>
          <t>Programming Fundamentals</t>
        </is>
      </c>
      <c r="H68" t="inlineStr">
        <is>
          <t>Java Fundamentals</t>
        </is>
      </c>
      <c r="I68" t="inlineStr">
        <is>
          <t>Learnyard</t>
        </is>
      </c>
      <c r="J68" t="inlineStr">
        <is>
          <t>Lesson</t>
        </is>
      </c>
    </row>
    <row r="69">
      <c r="A69" t="n">
        <v>68</v>
      </c>
      <c r="B69" t="inlineStr">
        <is>
          <t>Arrays: Practice Problems I</t>
        </is>
      </c>
      <c r="C69">
        <f>HYPERLINK("https://read.learnyard.com/java-fundamentals/arrays-practice-problems-i-java/","Solve Problem")</f>
        <v/>
      </c>
      <c r="D69">
        <f>HYPERLINK("https://read.learnyard.com/java-fundamentals/arrays-practice-problems-i-java/","Read Article")</f>
        <v/>
      </c>
      <c r="E69" t="inlineStr">
        <is>
          <t>Theory</t>
        </is>
      </c>
      <c r="F69" t="n">
        <v>1</v>
      </c>
      <c r="G69" t="inlineStr">
        <is>
          <t>Programming Fundamentals</t>
        </is>
      </c>
      <c r="H69" t="inlineStr">
        <is>
          <t>Java Fundamentals</t>
        </is>
      </c>
      <c r="I69" t="inlineStr">
        <is>
          <t>Learnyard</t>
        </is>
      </c>
      <c r="J69" t="inlineStr">
        <is>
          <t>Lesson</t>
        </is>
      </c>
    </row>
    <row r="70">
      <c r="A70" t="n">
        <v>69</v>
      </c>
      <c r="B70" t="inlineStr">
        <is>
          <t>Arrays: Practice Problems II</t>
        </is>
      </c>
      <c r="C70">
        <f>HYPERLINK("https://read.learnyard.com/java-fundamentals/arrays-practice-problems-ii-java/","Solve Problem")</f>
        <v/>
      </c>
      <c r="D70">
        <f>HYPERLINK("https://read.learnyard.com/java-fundamentals/arrays-practice-problems-ii-java/","Read Article")</f>
        <v/>
      </c>
      <c r="E70" t="inlineStr">
        <is>
          <t>Theory</t>
        </is>
      </c>
      <c r="F70" t="n">
        <v>1</v>
      </c>
      <c r="G70" t="inlineStr">
        <is>
          <t>Programming Fundamentals</t>
        </is>
      </c>
      <c r="H70" t="inlineStr">
        <is>
          <t>Java Fundamentals</t>
        </is>
      </c>
      <c r="I70" t="inlineStr">
        <is>
          <t>Learnyard</t>
        </is>
      </c>
      <c r="J70" t="inlineStr">
        <is>
          <t>Lesson</t>
        </is>
      </c>
    </row>
    <row r="71">
      <c r="A71" t="n">
        <v>70</v>
      </c>
      <c r="B71" t="inlineStr">
        <is>
          <t>Arrays: Practice Problems III</t>
        </is>
      </c>
      <c r="C71">
        <f>HYPERLINK("https://read.learnyard.com/java-fundamentals/arrays-practice-problems-iii-java/","Solve Problem")</f>
        <v/>
      </c>
      <c r="D71">
        <f>HYPERLINK("https://read.learnyard.com/java-fundamentals/arrays-practice-problems-iii-java/","Read Article")</f>
        <v/>
      </c>
      <c r="E71" t="inlineStr">
        <is>
          <t>Theory</t>
        </is>
      </c>
      <c r="F71" t="n">
        <v>1</v>
      </c>
      <c r="G71" t="inlineStr">
        <is>
          <t>Programming Fundamentals</t>
        </is>
      </c>
      <c r="H71" t="inlineStr">
        <is>
          <t>Java Fundamentals</t>
        </is>
      </c>
      <c r="I71" t="inlineStr">
        <is>
          <t>Learnyard</t>
        </is>
      </c>
      <c r="J71" t="inlineStr">
        <is>
          <t>Lesson</t>
        </is>
      </c>
    </row>
    <row r="72">
      <c r="A72" t="n">
        <v>71</v>
      </c>
      <c r="B72" t="inlineStr">
        <is>
          <t>Arrays: Practice Problems IV</t>
        </is>
      </c>
      <c r="C72">
        <f>HYPERLINK("https://read.learnyard.com/java-fundamentals/arrays-practice-problems-iv-java/","Solve Problem")</f>
        <v/>
      </c>
      <c r="D72">
        <f>HYPERLINK("https://read.learnyard.com/java-fundamentals/arrays-practice-problems-iv-java/","Read Article")</f>
        <v/>
      </c>
      <c r="E72" t="inlineStr">
        <is>
          <t>Theory</t>
        </is>
      </c>
      <c r="F72" t="n">
        <v>1</v>
      </c>
      <c r="G72" t="inlineStr">
        <is>
          <t>Programming Fundamentals</t>
        </is>
      </c>
      <c r="H72" t="inlineStr">
        <is>
          <t>Java Fundamentals</t>
        </is>
      </c>
      <c r="I72" t="inlineStr">
        <is>
          <t>Learnyard</t>
        </is>
      </c>
      <c r="J72" t="inlineStr">
        <is>
          <t>Lesson</t>
        </is>
      </c>
    </row>
    <row r="73">
      <c r="A73" t="n">
        <v>72</v>
      </c>
      <c r="B73" t="inlineStr">
        <is>
          <t>Methods in Java</t>
        </is>
      </c>
      <c r="C73">
        <f>HYPERLINK("https://read.learnyard.com/java-fundamentals/methods-in-java/","Solve Problem")</f>
        <v/>
      </c>
      <c r="D73">
        <f>HYPERLINK("https://read.learnyard.com/java-fundamentals/methods-in-java/","Read Article")</f>
        <v/>
      </c>
      <c r="E73" t="inlineStr">
        <is>
          <t>Theory</t>
        </is>
      </c>
      <c r="F73" t="n">
        <v>1</v>
      </c>
      <c r="G73" t="inlineStr">
        <is>
          <t>Programming Fundamentals</t>
        </is>
      </c>
      <c r="H73" t="inlineStr">
        <is>
          <t>Java Fundamentals</t>
        </is>
      </c>
      <c r="I73" t="inlineStr">
        <is>
          <t>Learnyard</t>
        </is>
      </c>
      <c r="J73" t="inlineStr">
        <is>
          <t>Lesson</t>
        </is>
      </c>
    </row>
    <row r="74">
      <c r="A74" t="n">
        <v>73</v>
      </c>
      <c r="B74" t="inlineStr">
        <is>
          <t>Method Arguments in Java</t>
        </is>
      </c>
      <c r="C74">
        <f>HYPERLINK("https://read.learnyard.com/java-fundamentals/method-arguments-in-java/","Solve Problem")</f>
        <v/>
      </c>
      <c r="D74">
        <f>HYPERLINK("https://read.learnyard.com/java-fundamentals/method-arguments-in-java/","Read Article")</f>
        <v/>
      </c>
      <c r="E74" t="inlineStr">
        <is>
          <t>Theory</t>
        </is>
      </c>
      <c r="F74" t="n">
        <v>1</v>
      </c>
      <c r="G74" t="inlineStr">
        <is>
          <t>Programming Fundamentals</t>
        </is>
      </c>
      <c r="H74" t="inlineStr">
        <is>
          <t>Java Fundamentals</t>
        </is>
      </c>
      <c r="I74" t="inlineStr">
        <is>
          <t>Learnyard</t>
        </is>
      </c>
      <c r="J74" t="inlineStr">
        <is>
          <t>Lesson</t>
        </is>
      </c>
    </row>
    <row r="75">
      <c r="A75" t="n">
        <v>74</v>
      </c>
      <c r="B75" t="inlineStr">
        <is>
          <t>Why Do We Use Arguments and Return Type in a Method?</t>
        </is>
      </c>
      <c r="C75">
        <f>HYPERLINK("https://read.learnyard.com/java-fundamentals/why-do-we-use-arguments-and-return-type-in-a-method-java/","Solve Problem")</f>
        <v/>
      </c>
      <c r="D75">
        <f>HYPERLINK("https://read.learnyard.com/java-fundamentals/why-do-we-use-arguments-and-return-type-in-a-method-java/","Read Article")</f>
        <v/>
      </c>
      <c r="E75" t="inlineStr">
        <is>
          <t>Theory</t>
        </is>
      </c>
      <c r="F75" t="n">
        <v>1</v>
      </c>
      <c r="G75" t="inlineStr">
        <is>
          <t>Programming Fundamentals</t>
        </is>
      </c>
      <c r="H75" t="inlineStr">
        <is>
          <t>Java Fundamentals</t>
        </is>
      </c>
      <c r="I75" t="inlineStr">
        <is>
          <t>Learnyard</t>
        </is>
      </c>
      <c r="J75" t="inlineStr">
        <is>
          <t>Lesson</t>
        </is>
      </c>
    </row>
    <row r="76">
      <c r="A76" t="n">
        <v>75</v>
      </c>
      <c r="B76" t="inlineStr">
        <is>
          <t>Standard Library Methods</t>
        </is>
      </c>
      <c r="C76">
        <f>HYPERLINK("https://read.learnyard.com/java-fundamentals/standard-library-methods-java/","Solve Problem")</f>
        <v/>
      </c>
      <c r="D76">
        <f>HYPERLINK("https://read.learnyard.com/java-fundamentals/standard-library-methods-java/","Read Article")</f>
        <v/>
      </c>
      <c r="E76" t="inlineStr">
        <is>
          <t>Theory</t>
        </is>
      </c>
      <c r="F76" t="n">
        <v>1</v>
      </c>
      <c r="G76" t="inlineStr">
        <is>
          <t>Programming Fundamentals</t>
        </is>
      </c>
      <c r="H76" t="inlineStr">
        <is>
          <t>Java Fundamentals</t>
        </is>
      </c>
      <c r="I76" t="inlineStr">
        <is>
          <t>Learnyard</t>
        </is>
      </c>
      <c r="J76" t="inlineStr">
        <is>
          <t>Lesson</t>
        </is>
      </c>
    </row>
    <row r="77">
      <c r="A77" t="n">
        <v>76</v>
      </c>
      <c r="B77" t="inlineStr">
        <is>
          <t>Local Variables in a Method</t>
        </is>
      </c>
      <c r="C77">
        <f>HYPERLINK("https://read.learnyard.com/java-fundamentals/local-variables-in-a-method-java/","Solve Problem")</f>
        <v/>
      </c>
      <c r="D77">
        <f>HYPERLINK("https://read.learnyard.com/java-fundamentals/local-variables-in-a-method-java/","Read Article")</f>
        <v/>
      </c>
      <c r="E77" t="inlineStr">
        <is>
          <t>Theory</t>
        </is>
      </c>
      <c r="F77" t="n">
        <v>1</v>
      </c>
      <c r="G77" t="inlineStr">
        <is>
          <t>Programming Fundamentals</t>
        </is>
      </c>
      <c r="H77" t="inlineStr">
        <is>
          <t>Java Fundamentals</t>
        </is>
      </c>
      <c r="I77" t="inlineStr">
        <is>
          <t>Learnyard</t>
        </is>
      </c>
      <c r="J77" t="inlineStr">
        <is>
          <t>Lesson</t>
        </is>
      </c>
    </row>
    <row r="78">
      <c r="A78" t="n">
        <v>77</v>
      </c>
      <c r="B78" t="inlineStr">
        <is>
          <t>Why, What and How?</t>
        </is>
      </c>
      <c r="C78">
        <f>HYPERLINK("https://read.learnyard.com/dsa/oj-wwh/","Solve Problem")</f>
        <v/>
      </c>
      <c r="D78">
        <f>HYPERLINK("https://read.learnyard.com/dsa/oj-wwh/","Read Article")</f>
        <v/>
      </c>
      <c r="E78" t="inlineStr">
        <is>
          <t>Theory</t>
        </is>
      </c>
      <c r="F78" t="n">
        <v>2</v>
      </c>
      <c r="G78" t="inlineStr">
        <is>
          <t>Time and Space Complexity / Online Judge</t>
        </is>
      </c>
      <c r="H78" t="inlineStr">
        <is>
          <t>Online Judge</t>
        </is>
      </c>
      <c r="I78" t="inlineStr">
        <is>
          <t>Learnyard</t>
        </is>
      </c>
      <c r="J78" t="inlineStr">
        <is>
          <t>Lesson</t>
        </is>
      </c>
    </row>
    <row r="79">
      <c r="A79" t="n">
        <v>78</v>
      </c>
      <c r="B79" t="inlineStr">
        <is>
          <t>Popular Online Platforms</t>
        </is>
      </c>
      <c r="C79">
        <f>HYPERLINK("https://read.learnyard.com/dsa/popular-online-platforms/","Solve Problem")</f>
        <v/>
      </c>
      <c r="D79">
        <f>HYPERLINK("https://read.learnyard.com/dsa/popular-online-platforms/","Read Article")</f>
        <v/>
      </c>
      <c r="E79" t="inlineStr">
        <is>
          <t>Theory</t>
        </is>
      </c>
      <c r="F79" t="n">
        <v>2</v>
      </c>
      <c r="G79" t="inlineStr">
        <is>
          <t>Time and Space Complexity / Online Judge</t>
        </is>
      </c>
      <c r="H79" t="inlineStr">
        <is>
          <t>Online Judge</t>
        </is>
      </c>
      <c r="I79" t="inlineStr">
        <is>
          <t>Learnyard</t>
        </is>
      </c>
      <c r="J79" t="inlineStr">
        <is>
          <t>Lesson</t>
        </is>
      </c>
    </row>
    <row r="80">
      <c r="A80" t="n">
        <v>79</v>
      </c>
      <c r="B80" t="inlineStr">
        <is>
          <t>Tearing Down a Problem</t>
        </is>
      </c>
      <c r="C80">
        <f>HYPERLINK("https://read.learnyard.com/dsa/tearing-down-a-problem/","Solve Problem")</f>
        <v/>
      </c>
      <c r="D80">
        <f>HYPERLINK("https://read.learnyard.com/dsa/tearing-down-a-problem/","Read Article")</f>
        <v/>
      </c>
      <c r="E80" t="inlineStr">
        <is>
          <t>Theory</t>
        </is>
      </c>
      <c r="F80" t="n">
        <v>2</v>
      </c>
      <c r="G80" t="inlineStr">
        <is>
          <t>Time and Space Complexity / Online Judge</t>
        </is>
      </c>
      <c r="H80" t="inlineStr">
        <is>
          <t>Online Judge</t>
        </is>
      </c>
      <c r="I80" t="inlineStr">
        <is>
          <t>Learnyard</t>
        </is>
      </c>
      <c r="J80" t="inlineStr">
        <is>
          <t>Lesson</t>
        </is>
      </c>
    </row>
    <row r="81">
      <c r="A81" t="n">
        <v>80</v>
      </c>
      <c r="B81" t="inlineStr">
        <is>
          <t>Inroduction to Time Complexity</t>
        </is>
      </c>
      <c r="C81">
        <f>HYPERLINK("https://read.learnyard.com/dsa/introduction-to-time-complexity/","Solve Problem")</f>
        <v/>
      </c>
      <c r="D81">
        <f>HYPERLINK("https://read.learnyard.com/dsa/introduction-to-time-complexity/","Read Article")</f>
        <v/>
      </c>
      <c r="E81" t="inlineStr">
        <is>
          <t>Theory</t>
        </is>
      </c>
      <c r="F81" t="n">
        <v>2</v>
      </c>
      <c r="G81" t="inlineStr">
        <is>
          <t>Time and Space Complexity / Online Judge</t>
        </is>
      </c>
      <c r="H81" t="inlineStr">
        <is>
          <t>Time and Space Complexity</t>
        </is>
      </c>
      <c r="I81" t="inlineStr">
        <is>
          <t>Learnyard</t>
        </is>
      </c>
      <c r="J81" t="inlineStr">
        <is>
          <t>Lesson</t>
        </is>
      </c>
    </row>
    <row r="82">
      <c r="A82" t="n">
        <v>81</v>
      </c>
      <c r="B82" t="inlineStr">
        <is>
          <t>Introduction to Space Complexity</t>
        </is>
      </c>
      <c r="C82">
        <f>HYPERLINK("https://read.learnyard.com/dsa/introduction-to-space-complexity/","Solve Problem")</f>
        <v/>
      </c>
      <c r="D82">
        <f>HYPERLINK("https://read.learnyard.com/dsa/introduction-to-space-complexity/","Read Article")</f>
        <v/>
      </c>
      <c r="E82" t="inlineStr">
        <is>
          <t>Theory</t>
        </is>
      </c>
      <c r="F82" t="n">
        <v>2</v>
      </c>
      <c r="G82" t="inlineStr">
        <is>
          <t>Time and Space Complexity / Online Judge</t>
        </is>
      </c>
      <c r="H82" t="inlineStr">
        <is>
          <t>Time and Space Complexity</t>
        </is>
      </c>
      <c r="I82" t="inlineStr">
        <is>
          <t>Learnyard</t>
        </is>
      </c>
      <c r="J82" t="inlineStr">
        <is>
          <t>Lesson</t>
        </is>
      </c>
    </row>
    <row r="83">
      <c r="A83" t="n">
        <v>82</v>
      </c>
      <c r="B83" t="inlineStr">
        <is>
          <t>Different Notations in Time Complexity</t>
        </is>
      </c>
      <c r="C83">
        <f>HYPERLINK("https://read.learnyard.com/dsa/different-notations-in-time-complexity/","Solve Problem")</f>
        <v/>
      </c>
      <c r="D83">
        <f>HYPERLINK("https://read.learnyard.com/dsa/different-notations-in-time-complexity/","Read Article")</f>
        <v/>
      </c>
      <c r="E83" t="inlineStr">
        <is>
          <t>Theory</t>
        </is>
      </c>
      <c r="F83" t="n">
        <v>2</v>
      </c>
      <c r="G83" t="inlineStr">
        <is>
          <t>Time and Space Complexity / Online Judge</t>
        </is>
      </c>
      <c r="H83" t="inlineStr">
        <is>
          <t>Time and Space Complexity</t>
        </is>
      </c>
      <c r="I83" t="inlineStr">
        <is>
          <t>Learnyard</t>
        </is>
      </c>
      <c r="J83" t="inlineStr">
        <is>
          <t>Lesson</t>
        </is>
      </c>
    </row>
    <row r="84">
      <c r="A84" t="n">
        <v>83</v>
      </c>
      <c r="B84" t="inlineStr">
        <is>
          <t>Comparing different time complexities</t>
        </is>
      </c>
      <c r="C84">
        <f>HYPERLINK("https://read.learnyard.com/dsa/comparing-different-time-complexities/","Solve Problem")</f>
        <v/>
      </c>
      <c r="D84">
        <f>HYPERLINK("https://read.learnyard.com/dsa/comparing-different-time-complexities/","Read Article")</f>
        <v/>
      </c>
      <c r="E84" t="inlineStr">
        <is>
          <t>Theory</t>
        </is>
      </c>
      <c r="F84" t="n">
        <v>2</v>
      </c>
      <c r="G84" t="inlineStr">
        <is>
          <t>Time and Space Complexity / Online Judge</t>
        </is>
      </c>
      <c r="H84" t="inlineStr">
        <is>
          <t>Time and Space Complexity</t>
        </is>
      </c>
      <c r="I84" t="inlineStr">
        <is>
          <t>Learnyard</t>
        </is>
      </c>
      <c r="J84" t="inlineStr">
        <is>
          <t>Lesson</t>
        </is>
      </c>
    </row>
    <row r="85">
      <c r="A85" t="n">
        <v>84</v>
      </c>
      <c r="B85" t="inlineStr">
        <is>
          <t>How to Calculate Time Complexity?</t>
        </is>
      </c>
      <c r="C85">
        <f>HYPERLINK("https://read.learnyard.com/dsa/how-to-calculate-time-complexity/","Solve Problem")</f>
        <v/>
      </c>
      <c r="D85">
        <f>HYPERLINK("https://read.learnyard.com/dsa/how-to-calculate-time-complexity/","Read Article")</f>
        <v/>
      </c>
      <c r="E85" t="inlineStr">
        <is>
          <t>Theory</t>
        </is>
      </c>
      <c r="F85" t="n">
        <v>2</v>
      </c>
      <c r="G85" t="inlineStr">
        <is>
          <t>Time and Space Complexity / Online Judge</t>
        </is>
      </c>
      <c r="H85" t="inlineStr">
        <is>
          <t>Time and Space Complexity</t>
        </is>
      </c>
      <c r="I85" t="inlineStr">
        <is>
          <t>Learnyard</t>
        </is>
      </c>
      <c r="J85" t="inlineStr">
        <is>
          <t>Lesson</t>
        </is>
      </c>
    </row>
    <row r="86">
      <c r="A86" t="n">
        <v>85</v>
      </c>
      <c r="B86" t="inlineStr">
        <is>
          <t>Quiz: Time Complexity</t>
        </is>
      </c>
      <c r="C86">
        <f>HYPERLINK("https://read.learnyard.com/dsa/quiz-time-complexity/","Solve Problem")</f>
        <v/>
      </c>
      <c r="D86">
        <f>HYPERLINK("https://read.learnyard.com/dsa/quiz-time-complexity/","Read Article")</f>
        <v/>
      </c>
      <c r="E86" t="inlineStr">
        <is>
          <t>Easy</t>
        </is>
      </c>
      <c r="F86" t="n">
        <v>2</v>
      </c>
      <c r="G86" t="inlineStr">
        <is>
          <t>Time and Space Complexity / Online Judge</t>
        </is>
      </c>
      <c r="H86" t="inlineStr">
        <is>
          <t>Time and Space Complexity</t>
        </is>
      </c>
      <c r="I86" t="inlineStr">
        <is>
          <t>Learnyard</t>
        </is>
      </c>
      <c r="J86" t="inlineStr">
        <is>
          <t>Lesson</t>
        </is>
      </c>
    </row>
    <row r="87">
      <c r="A87" t="n">
        <v>86</v>
      </c>
      <c r="B87" t="inlineStr">
        <is>
          <t>if-else and else-if ladder Practice</t>
        </is>
      </c>
      <c r="C87">
        <f>HYPERLINK("https://read.learnyard.com/dsa/if-else-practice/","Solve Problem")</f>
        <v/>
      </c>
      <c r="D87">
        <f>HYPERLINK("https://read.learnyard.com/dsa/if-else-practice/","Read Article")</f>
        <v/>
      </c>
      <c r="E87" t="inlineStr">
        <is>
          <t>Easy</t>
        </is>
      </c>
      <c r="F87" t="n">
        <v>3</v>
      </c>
      <c r="G87" t="inlineStr">
        <is>
          <t>Dsa Fundamentals</t>
        </is>
      </c>
      <c r="H87" t="inlineStr">
        <is>
          <t>Control Flow</t>
        </is>
      </c>
      <c r="I87" t="inlineStr">
        <is>
          <t>Learnyard</t>
        </is>
      </c>
      <c r="J87" t="inlineStr">
        <is>
          <t>Lesson</t>
        </is>
      </c>
    </row>
    <row r="88">
      <c r="A88" t="n">
        <v>87</v>
      </c>
      <c r="B88" t="inlineStr">
        <is>
          <t>Loops Practice 1</t>
        </is>
      </c>
      <c r="C88">
        <f>HYPERLINK("https://read.learnyard.com/dsa/loops-practice-1/","Solve Problem")</f>
        <v/>
      </c>
      <c r="D88">
        <f>HYPERLINK("https://read.learnyard.com/dsa/loops-practice-1/","Read Article")</f>
        <v/>
      </c>
      <c r="E88" t="inlineStr">
        <is>
          <t>Easy</t>
        </is>
      </c>
      <c r="F88" t="n">
        <v>3</v>
      </c>
      <c r="G88" t="inlineStr">
        <is>
          <t>Dsa Fundamentals</t>
        </is>
      </c>
      <c r="H88" t="inlineStr">
        <is>
          <t>Control Flow</t>
        </is>
      </c>
      <c r="I88" t="inlineStr">
        <is>
          <t>Learnyard</t>
        </is>
      </c>
      <c r="J88" t="inlineStr">
        <is>
          <t>Lesson</t>
        </is>
      </c>
    </row>
    <row r="89">
      <c r="A89" t="n">
        <v>88</v>
      </c>
      <c r="B89" t="inlineStr">
        <is>
          <t>Loops Practice 2</t>
        </is>
      </c>
      <c r="C89">
        <f>HYPERLINK("https://read.learnyard.com/dsa/loops-practice-2/","Solve Problem")</f>
        <v/>
      </c>
      <c r="D89">
        <f>HYPERLINK("https://read.learnyard.com/dsa/loops-practice-2/","Read Article")</f>
        <v/>
      </c>
      <c r="E89" t="inlineStr">
        <is>
          <t>Easy</t>
        </is>
      </c>
      <c r="F89" t="n">
        <v>3</v>
      </c>
      <c r="G89" t="inlineStr">
        <is>
          <t>Dsa Fundamentals</t>
        </is>
      </c>
      <c r="H89" t="inlineStr">
        <is>
          <t>Control Flow</t>
        </is>
      </c>
      <c r="I89" t="inlineStr">
        <is>
          <t>Learnyard</t>
        </is>
      </c>
      <c r="J89" t="inlineStr">
        <is>
          <t>Lesson</t>
        </is>
      </c>
    </row>
    <row r="90">
      <c r="A90" t="n">
        <v>89</v>
      </c>
      <c r="B90" t="inlineStr">
        <is>
          <t>Loops Practice 3</t>
        </is>
      </c>
      <c r="C90">
        <f>HYPERLINK("https://read.learnyard.com/dsa/loops-practice-3/","Solve Problem")</f>
        <v/>
      </c>
      <c r="D90">
        <f>HYPERLINK("https://read.learnyard.com/dsa/loops-practice-3/","Read Article")</f>
        <v/>
      </c>
      <c r="E90" t="inlineStr">
        <is>
          <t>Easy</t>
        </is>
      </c>
      <c r="F90" t="n">
        <v>3</v>
      </c>
      <c r="G90" t="inlineStr">
        <is>
          <t>Dsa Fundamentals</t>
        </is>
      </c>
      <c r="H90" t="inlineStr">
        <is>
          <t>Control Flow</t>
        </is>
      </c>
      <c r="I90" t="inlineStr">
        <is>
          <t>Learnyard</t>
        </is>
      </c>
      <c r="J90" t="inlineStr">
        <is>
          <t>Lesson</t>
        </is>
      </c>
    </row>
    <row r="91">
      <c r="A91" t="n">
        <v>90</v>
      </c>
      <c r="B91" t="inlineStr">
        <is>
          <t>Loops Practice 4</t>
        </is>
      </c>
      <c r="C91">
        <f>HYPERLINK("https://read.learnyard.com/dsa/loops-practice-4/","Solve Problem")</f>
        <v/>
      </c>
      <c r="D91">
        <f>HYPERLINK("https://read.learnyard.com/dsa/loops-practice-4/","Read Article")</f>
        <v/>
      </c>
      <c r="E91" t="inlineStr">
        <is>
          <t>Easy</t>
        </is>
      </c>
      <c r="F91" t="n">
        <v>3</v>
      </c>
      <c r="G91" t="inlineStr">
        <is>
          <t>Dsa Fundamentals</t>
        </is>
      </c>
      <c r="H91" t="inlineStr">
        <is>
          <t>Control Flow</t>
        </is>
      </c>
      <c r="I91" t="inlineStr">
        <is>
          <t>Learnyard</t>
        </is>
      </c>
      <c r="J91" t="inlineStr">
        <is>
          <t>Lesson</t>
        </is>
      </c>
    </row>
    <row r="92">
      <c r="A92" t="n">
        <v>91</v>
      </c>
      <c r="B92" t="inlineStr">
        <is>
          <t>Square Star and Rhombus Star Patterns</t>
        </is>
      </c>
      <c r="C92">
        <f>HYPERLINK("https://read.learnyard.com/dsa/square-star-and-rhombus-star-patterns/","Solve Problem")</f>
        <v/>
      </c>
      <c r="D92">
        <f>HYPERLINK("https://read.learnyard.com/dsa/square-star-and-rhombus-star-patterns/","Read Article")</f>
        <v/>
      </c>
      <c r="E92" t="inlineStr">
        <is>
          <t>Easy</t>
        </is>
      </c>
      <c r="F92" t="n">
        <v>3</v>
      </c>
      <c r="G92" t="inlineStr">
        <is>
          <t>Dsa Fundamentals</t>
        </is>
      </c>
      <c r="H92" t="inlineStr">
        <is>
          <t>Control Flow</t>
        </is>
      </c>
      <c r="I92" t="inlineStr">
        <is>
          <t>Learnyard</t>
        </is>
      </c>
      <c r="J92" t="inlineStr">
        <is>
          <t>Lesson</t>
        </is>
      </c>
    </row>
    <row r="93">
      <c r="A93" t="n">
        <v>92</v>
      </c>
      <c r="B93" t="inlineStr">
        <is>
          <t>Triangle Star Patterns</t>
        </is>
      </c>
      <c r="C93">
        <f>HYPERLINK("https://read.learnyard.com/dsa/triangle-star-patterns/","Solve Problem")</f>
        <v/>
      </c>
      <c r="D93">
        <f>HYPERLINK("https://read.learnyard.com/dsa/triangle-star-patterns/","Read Article")</f>
        <v/>
      </c>
      <c r="E93" t="inlineStr">
        <is>
          <t>Easy</t>
        </is>
      </c>
      <c r="F93" t="n">
        <v>3</v>
      </c>
      <c r="G93" t="inlineStr">
        <is>
          <t>Dsa Fundamentals</t>
        </is>
      </c>
      <c r="H93" t="inlineStr">
        <is>
          <t>Control Flow</t>
        </is>
      </c>
      <c r="I93" t="inlineStr">
        <is>
          <t>Learnyard</t>
        </is>
      </c>
      <c r="J93" t="inlineStr">
        <is>
          <t>Lesson</t>
        </is>
      </c>
    </row>
    <row r="94">
      <c r="A94" t="n">
        <v>93</v>
      </c>
      <c r="B94" t="inlineStr">
        <is>
          <t>Pyramid Star Patterns</t>
        </is>
      </c>
      <c r="C94">
        <f>HYPERLINK("https://read.learnyard.com/dsa/pyramid-star-patterns/","Solve Problem")</f>
        <v/>
      </c>
      <c r="D94">
        <f>HYPERLINK("https://read.learnyard.com/dsa/pyramid-star-patterns/","Read Article")</f>
        <v/>
      </c>
      <c r="E94" t="inlineStr">
        <is>
          <t>Easy</t>
        </is>
      </c>
      <c r="F94" t="n">
        <v>3</v>
      </c>
      <c r="G94" t="inlineStr">
        <is>
          <t>Dsa Fundamentals</t>
        </is>
      </c>
      <c r="H94" t="inlineStr">
        <is>
          <t>Control Flow</t>
        </is>
      </c>
      <c r="I94" t="inlineStr">
        <is>
          <t>Learnyard</t>
        </is>
      </c>
      <c r="J94" t="inlineStr">
        <is>
          <t>Lesson</t>
        </is>
      </c>
    </row>
    <row r="95">
      <c r="A95" t="n">
        <v>94</v>
      </c>
      <c r="B95" t="inlineStr">
        <is>
          <t>Miscellaneous Star Patterns</t>
        </is>
      </c>
      <c r="C95">
        <f>HYPERLINK("https://read.learnyard.com/dsa/miscellaneous-star-patterns/","Solve Problem")</f>
        <v/>
      </c>
      <c r="D95">
        <f>HYPERLINK("https://read.learnyard.com/dsa/miscellaneous-star-patterns/","Read Article")</f>
        <v/>
      </c>
      <c r="E95" t="inlineStr">
        <is>
          <t>Easy</t>
        </is>
      </c>
      <c r="F95" t="n">
        <v>3</v>
      </c>
      <c r="G95" t="inlineStr">
        <is>
          <t>Dsa Fundamentals</t>
        </is>
      </c>
      <c r="H95" t="inlineStr">
        <is>
          <t>Control Flow</t>
        </is>
      </c>
      <c r="I95" t="inlineStr">
        <is>
          <t>Learnyard</t>
        </is>
      </c>
      <c r="J95" t="inlineStr">
        <is>
          <t>Lesson</t>
        </is>
      </c>
    </row>
    <row r="96">
      <c r="A96" t="n">
        <v>95</v>
      </c>
      <c r="B96" t="inlineStr">
        <is>
          <t>Number Patterns 1</t>
        </is>
      </c>
      <c r="C96">
        <f>HYPERLINK("https://read.learnyard.com/dsa/number-patterns-1/","Solve Problem")</f>
        <v/>
      </c>
      <c r="D96">
        <f>HYPERLINK("https://read.learnyard.com/dsa/number-patterns-1/","Read Article")</f>
        <v/>
      </c>
      <c r="E96" t="inlineStr">
        <is>
          <t>Easy</t>
        </is>
      </c>
      <c r="F96" t="n">
        <v>3</v>
      </c>
      <c r="G96" t="inlineStr">
        <is>
          <t>Dsa Fundamentals</t>
        </is>
      </c>
      <c r="H96" t="inlineStr">
        <is>
          <t>Control Flow</t>
        </is>
      </c>
      <c r="I96" t="inlineStr">
        <is>
          <t>Learnyard</t>
        </is>
      </c>
      <c r="J96" t="inlineStr">
        <is>
          <t>Lesson</t>
        </is>
      </c>
    </row>
    <row r="97">
      <c r="A97" t="n">
        <v>96</v>
      </c>
      <c r="B97" t="inlineStr">
        <is>
          <t>Number Patterns 2</t>
        </is>
      </c>
      <c r="C97">
        <f>HYPERLINK("https://read.learnyard.com/dsa/number-patterns-2/","Solve Problem")</f>
        <v/>
      </c>
      <c r="D97">
        <f>HYPERLINK("https://read.learnyard.com/dsa/number-patterns-2/","Read Article")</f>
        <v/>
      </c>
      <c r="E97" t="inlineStr">
        <is>
          <t>Easy</t>
        </is>
      </c>
      <c r="F97" t="n">
        <v>3</v>
      </c>
      <c r="G97" t="inlineStr">
        <is>
          <t>Dsa Fundamentals</t>
        </is>
      </c>
      <c r="H97" t="inlineStr">
        <is>
          <t>Control Flow</t>
        </is>
      </c>
      <c r="I97" t="inlineStr">
        <is>
          <t>Learnyard</t>
        </is>
      </c>
      <c r="J97" t="inlineStr">
        <is>
          <t>Lesson</t>
        </is>
      </c>
    </row>
    <row r="98">
      <c r="A98" t="n">
        <v>97</v>
      </c>
      <c r="B98" t="inlineStr">
        <is>
          <t>Triangular Number Patterns 1</t>
        </is>
      </c>
      <c r="C98">
        <f>HYPERLINK("https://read.learnyard.com/dsa/triangular-number-patterns-1/","Solve Problem")</f>
        <v/>
      </c>
      <c r="D98">
        <f>HYPERLINK("https://read.learnyard.com/dsa/triangular-number-patterns-1/","Read Article")</f>
        <v/>
      </c>
      <c r="E98" t="inlineStr">
        <is>
          <t>Easy</t>
        </is>
      </c>
      <c r="F98" t="n">
        <v>3</v>
      </c>
      <c r="G98" t="inlineStr">
        <is>
          <t>Dsa Fundamentals</t>
        </is>
      </c>
      <c r="H98" t="inlineStr">
        <is>
          <t>Control Flow</t>
        </is>
      </c>
      <c r="I98" t="inlineStr">
        <is>
          <t>Learnyard</t>
        </is>
      </c>
      <c r="J98" t="inlineStr">
        <is>
          <t>Lesson</t>
        </is>
      </c>
    </row>
    <row r="99">
      <c r="A99" t="n">
        <v>98</v>
      </c>
      <c r="B99" t="inlineStr">
        <is>
          <t>Triangular Number Patterns 2</t>
        </is>
      </c>
      <c r="C99">
        <f>HYPERLINK("https://read.learnyard.com/dsa/triangular-number-patterns-2/","Solve Problem")</f>
        <v/>
      </c>
      <c r="D99">
        <f>HYPERLINK("https://read.learnyard.com/dsa/triangular-number-patterns-2/","Read Article")</f>
        <v/>
      </c>
      <c r="E99" t="inlineStr">
        <is>
          <t>Easy</t>
        </is>
      </c>
      <c r="F99" t="n">
        <v>3</v>
      </c>
      <c r="G99" t="inlineStr">
        <is>
          <t>Dsa Fundamentals</t>
        </is>
      </c>
      <c r="H99" t="inlineStr">
        <is>
          <t>Control Flow</t>
        </is>
      </c>
      <c r="I99" t="inlineStr">
        <is>
          <t>Learnyard</t>
        </is>
      </c>
      <c r="J99" t="inlineStr">
        <is>
          <t>Lesson</t>
        </is>
      </c>
    </row>
    <row r="100">
      <c r="A100" t="n">
        <v>99</v>
      </c>
      <c r="B100" t="inlineStr">
        <is>
          <t>Triangular Number Patterns 3</t>
        </is>
      </c>
      <c r="C100">
        <f>HYPERLINK("https://read.learnyard.com/dsa/triangular-number-patterns-3/","Solve Problem")</f>
        <v/>
      </c>
      <c r="D100">
        <f>HYPERLINK("https://read.learnyard.com/dsa/triangular-number-patterns-3/","Read Article")</f>
        <v/>
      </c>
      <c r="E100" t="inlineStr">
        <is>
          <t>Easy</t>
        </is>
      </c>
      <c r="F100" t="n">
        <v>3</v>
      </c>
      <c r="G100" t="inlineStr">
        <is>
          <t>Dsa Fundamentals</t>
        </is>
      </c>
      <c r="H100" t="inlineStr">
        <is>
          <t>Control Flow</t>
        </is>
      </c>
      <c r="I100" t="inlineStr">
        <is>
          <t>Learnyard</t>
        </is>
      </c>
      <c r="J100" t="inlineStr">
        <is>
          <t>Lesson</t>
        </is>
      </c>
    </row>
    <row r="101">
      <c r="A101" t="n">
        <v>100</v>
      </c>
      <c r="B101" t="inlineStr">
        <is>
          <t>Switch Statement Practice</t>
        </is>
      </c>
      <c r="C101">
        <f>HYPERLINK("https://read.learnyard.com/dsa/switch-statement-practice/","Solve Problem")</f>
        <v/>
      </c>
      <c r="D101">
        <f>HYPERLINK("https://read.learnyard.com/dsa/switch-statement-practice/","Read Article")</f>
        <v/>
      </c>
      <c r="E101" t="inlineStr">
        <is>
          <t>Easy</t>
        </is>
      </c>
      <c r="F101" t="n">
        <v>3</v>
      </c>
      <c r="G101" t="inlineStr">
        <is>
          <t>Dsa Fundamentals</t>
        </is>
      </c>
      <c r="H101" t="inlineStr">
        <is>
          <t>Control Flow</t>
        </is>
      </c>
      <c r="I101" t="inlineStr">
        <is>
          <t>Learnyard</t>
        </is>
      </c>
      <c r="J101" t="inlineStr">
        <is>
          <t>Lesson</t>
        </is>
      </c>
    </row>
    <row r="102">
      <c r="A102" t="n">
        <v>101</v>
      </c>
      <c r="B102" t="inlineStr">
        <is>
          <t>Print Each Element and Its Index in an Array</t>
        </is>
      </c>
      <c r="C102">
        <f>HYPERLINK("https://learnyard.com/practice/dsa","Solve Problem")</f>
        <v/>
      </c>
      <c r="D102" t="inlineStr">
        <is>
          <t>-</t>
        </is>
      </c>
      <c r="E102" t="inlineStr">
        <is>
          <t>Easy</t>
        </is>
      </c>
      <c r="F102" t="n">
        <v>3</v>
      </c>
      <c r="G102" t="inlineStr">
        <is>
          <t>Dsa Fundamentals</t>
        </is>
      </c>
      <c r="H102" t="inlineStr">
        <is>
          <t>Array Basics</t>
        </is>
      </c>
      <c r="I102" t="inlineStr">
        <is>
          <t>Learnyard</t>
        </is>
      </c>
      <c r="J102" t="inlineStr">
        <is>
          <t>Lesson</t>
        </is>
      </c>
    </row>
    <row r="103">
      <c r="A103" t="n">
        <v>102</v>
      </c>
      <c r="B103" t="inlineStr">
        <is>
          <t>Print Elements of an Array in Reverse Order</t>
        </is>
      </c>
      <c r="C103">
        <f>HYPERLINK("https://learnyard.com/practice/dsa","Solve Problem")</f>
        <v/>
      </c>
      <c r="D103" t="inlineStr">
        <is>
          <t>-</t>
        </is>
      </c>
      <c r="E103" t="inlineStr">
        <is>
          <t>Easy</t>
        </is>
      </c>
      <c r="F103" t="n">
        <v>3</v>
      </c>
      <c r="G103" t="inlineStr">
        <is>
          <t>Dsa Fundamentals</t>
        </is>
      </c>
      <c r="H103" t="inlineStr">
        <is>
          <t>Array Basics</t>
        </is>
      </c>
      <c r="I103" t="inlineStr">
        <is>
          <t>Learnyard</t>
        </is>
      </c>
      <c r="J103" t="inlineStr">
        <is>
          <t>Lesson</t>
        </is>
      </c>
    </row>
    <row r="104">
      <c r="A104" t="n">
        <v>103</v>
      </c>
      <c r="B104" t="inlineStr">
        <is>
          <t>Print Alternate Elements of an Array</t>
        </is>
      </c>
      <c r="C104">
        <f>HYPERLINK("https://learnyard.com/practice/dsa","Solve Problem")</f>
        <v/>
      </c>
      <c r="D104" t="inlineStr">
        <is>
          <t>-</t>
        </is>
      </c>
      <c r="E104" t="inlineStr">
        <is>
          <t>Easy</t>
        </is>
      </c>
      <c r="F104" t="n">
        <v>3</v>
      </c>
      <c r="G104" t="inlineStr">
        <is>
          <t>Dsa Fundamentals</t>
        </is>
      </c>
      <c r="H104" t="inlineStr">
        <is>
          <t>Array Basics</t>
        </is>
      </c>
      <c r="I104" t="inlineStr">
        <is>
          <t>Learnyard</t>
        </is>
      </c>
      <c r="J104" t="inlineStr">
        <is>
          <t>Lesson</t>
        </is>
      </c>
    </row>
    <row r="105">
      <c r="A105" t="n">
        <v>104</v>
      </c>
      <c r="B105" t="inlineStr">
        <is>
          <t>Create a Duplicate of an Array</t>
        </is>
      </c>
      <c r="C105">
        <f>HYPERLINK("https://learnyard.com/practice/dsa","Solve Problem")</f>
        <v/>
      </c>
      <c r="D105" t="inlineStr">
        <is>
          <t>-</t>
        </is>
      </c>
      <c r="E105" t="inlineStr">
        <is>
          <t>Easy</t>
        </is>
      </c>
      <c r="F105" t="n">
        <v>3</v>
      </c>
      <c r="G105" t="inlineStr">
        <is>
          <t>Dsa Fundamentals</t>
        </is>
      </c>
      <c r="H105" t="inlineStr">
        <is>
          <t>Array Basics</t>
        </is>
      </c>
      <c r="I105" t="inlineStr">
        <is>
          <t>Learnyard</t>
        </is>
      </c>
      <c r="J105" t="inlineStr">
        <is>
          <t>Lesson</t>
        </is>
      </c>
    </row>
    <row r="106">
      <c r="A106" t="n">
        <v>105</v>
      </c>
      <c r="B106" t="inlineStr">
        <is>
          <t>Create Two Arrays one for Odd Elements and one for Even Elements</t>
        </is>
      </c>
      <c r="C106">
        <f>HYPERLINK("https://learnyard.com/practice/dsa","Solve Problem")</f>
        <v/>
      </c>
      <c r="D106" t="inlineStr">
        <is>
          <t>-</t>
        </is>
      </c>
      <c r="E106" t="inlineStr">
        <is>
          <t>Easy</t>
        </is>
      </c>
      <c r="F106" t="n">
        <v>3</v>
      </c>
      <c r="G106" t="inlineStr">
        <is>
          <t>Dsa Fundamentals</t>
        </is>
      </c>
      <c r="H106" t="inlineStr">
        <is>
          <t>Array Basics</t>
        </is>
      </c>
      <c r="I106" t="inlineStr">
        <is>
          <t>Learnyard</t>
        </is>
      </c>
      <c r="J106" t="inlineStr">
        <is>
          <t>Lesson</t>
        </is>
      </c>
    </row>
    <row r="107">
      <c r="A107" t="n">
        <v>106</v>
      </c>
      <c r="B107" t="inlineStr">
        <is>
          <t>Calculate Sum and Product of Array Elements</t>
        </is>
      </c>
      <c r="C107">
        <f>HYPERLINK("https://learnyard.com/practice/dsa","Solve Problem")</f>
        <v/>
      </c>
      <c r="D107" t="inlineStr">
        <is>
          <t>-</t>
        </is>
      </c>
      <c r="E107" t="inlineStr">
        <is>
          <t>Easy</t>
        </is>
      </c>
      <c r="F107" t="n">
        <v>3</v>
      </c>
      <c r="G107" t="inlineStr">
        <is>
          <t>Dsa Fundamentals</t>
        </is>
      </c>
      <c r="H107" t="inlineStr">
        <is>
          <t>Array Basics</t>
        </is>
      </c>
      <c r="I107" t="inlineStr">
        <is>
          <t>Learnyard</t>
        </is>
      </c>
      <c r="J107" t="inlineStr">
        <is>
          <t>Lesson</t>
        </is>
      </c>
    </row>
    <row r="108">
      <c r="A108" t="n">
        <v>107</v>
      </c>
      <c r="B108" t="inlineStr">
        <is>
          <t>Count Occurrences of a Target Number in an Array</t>
        </is>
      </c>
      <c r="C108">
        <f>HYPERLINK("https://learnyard.com/practice/dsa","Solve Problem")</f>
        <v/>
      </c>
      <c r="D108" t="inlineStr">
        <is>
          <t>-</t>
        </is>
      </c>
      <c r="E108" t="inlineStr">
        <is>
          <t>Easy</t>
        </is>
      </c>
      <c r="F108" t="n">
        <v>3</v>
      </c>
      <c r="G108" t="inlineStr">
        <is>
          <t>Dsa Fundamentals</t>
        </is>
      </c>
      <c r="H108" t="inlineStr">
        <is>
          <t>Array Basics</t>
        </is>
      </c>
      <c r="I108" t="inlineStr">
        <is>
          <t>Learnyard</t>
        </is>
      </c>
      <c r="J108" t="inlineStr">
        <is>
          <t>Lesson</t>
        </is>
      </c>
    </row>
    <row r="109">
      <c r="A109" t="n">
        <v>108</v>
      </c>
      <c r="B109" t="inlineStr">
        <is>
          <t>Check if an Array is Sorted Forward, Backward or Not at All</t>
        </is>
      </c>
      <c r="C109">
        <f>HYPERLINK("https://learnyard.com/practice/dsa","Solve Problem")</f>
        <v/>
      </c>
      <c r="D109" t="inlineStr">
        <is>
          <t>-</t>
        </is>
      </c>
      <c r="E109" t="inlineStr">
        <is>
          <t>Easy</t>
        </is>
      </c>
      <c r="F109" t="n">
        <v>3</v>
      </c>
      <c r="G109" t="inlineStr">
        <is>
          <t>Dsa Fundamentals</t>
        </is>
      </c>
      <c r="H109" t="inlineStr">
        <is>
          <t>Array Basics</t>
        </is>
      </c>
      <c r="I109" t="inlineStr">
        <is>
          <t>Learnyard</t>
        </is>
      </c>
      <c r="J109" t="inlineStr">
        <is>
          <t>Lesson</t>
        </is>
      </c>
    </row>
    <row r="110">
      <c r="A110" t="n">
        <v>109</v>
      </c>
      <c r="B110" t="inlineStr">
        <is>
          <t>Count Unique and Duplicate Elements in an Array</t>
        </is>
      </c>
      <c r="C110">
        <f>HYPERLINK("https://learnyard.com/practice/dsa","Solve Problem")</f>
        <v/>
      </c>
      <c r="D110" t="inlineStr">
        <is>
          <t>-</t>
        </is>
      </c>
      <c r="E110" t="inlineStr">
        <is>
          <t>Easy</t>
        </is>
      </c>
      <c r="F110" t="n">
        <v>3</v>
      </c>
      <c r="G110" t="inlineStr">
        <is>
          <t>Dsa Fundamentals</t>
        </is>
      </c>
      <c r="H110" t="inlineStr">
        <is>
          <t>Array Basics</t>
        </is>
      </c>
      <c r="I110" t="inlineStr">
        <is>
          <t>Learnyard</t>
        </is>
      </c>
      <c r="J110" t="inlineStr">
        <is>
          <t>Lesson</t>
        </is>
      </c>
    </row>
    <row r="111">
      <c r="A111" t="n">
        <v>110</v>
      </c>
      <c r="B111" t="inlineStr">
        <is>
          <t>Check if Two Elements Exist with a Sum Equal to a Target Value</t>
        </is>
      </c>
      <c r="C111">
        <f>HYPERLINK("https://learnyard.com/practice/dsa","Solve Problem")</f>
        <v/>
      </c>
      <c r="D111" t="inlineStr">
        <is>
          <t>-</t>
        </is>
      </c>
      <c r="E111" t="inlineStr">
        <is>
          <t>Easy</t>
        </is>
      </c>
      <c r="F111" t="n">
        <v>3</v>
      </c>
      <c r="G111" t="inlineStr">
        <is>
          <t>Dsa Fundamentals</t>
        </is>
      </c>
      <c r="H111" t="inlineStr">
        <is>
          <t>Array Basics</t>
        </is>
      </c>
      <c r="I111" t="inlineStr">
        <is>
          <t>Learnyard</t>
        </is>
      </c>
      <c r="J111" t="inlineStr">
        <is>
          <t>Lesson</t>
        </is>
      </c>
    </row>
    <row r="112">
      <c r="A112" t="n">
        <v>111</v>
      </c>
      <c r="B112" t="inlineStr">
        <is>
          <t>Check if Three Elements Exist with a Sum Equal to a Target Value</t>
        </is>
      </c>
      <c r="C112">
        <f>HYPERLINK("https://learnyard.com/practice/dsa","Solve Problem")</f>
        <v/>
      </c>
      <c r="D112" t="inlineStr">
        <is>
          <t>-</t>
        </is>
      </c>
      <c r="E112" t="inlineStr">
        <is>
          <t>Easy</t>
        </is>
      </c>
      <c r="F112" t="n">
        <v>3</v>
      </c>
      <c r="G112" t="inlineStr">
        <is>
          <t>Dsa Fundamentals</t>
        </is>
      </c>
      <c r="H112" t="inlineStr">
        <is>
          <t>Array Basics</t>
        </is>
      </c>
      <c r="I112" t="inlineStr">
        <is>
          <t>Learnyard</t>
        </is>
      </c>
      <c r="J112" t="inlineStr">
        <is>
          <t>Lesson</t>
        </is>
      </c>
    </row>
    <row r="113">
      <c r="A113" t="n">
        <v>112</v>
      </c>
      <c r="B113" t="inlineStr">
        <is>
          <t>Find the Maximum Element in an Array</t>
        </is>
      </c>
      <c r="C113">
        <f>HYPERLINK("https://learnyard.com/practice/dsa","Solve Problem")</f>
        <v/>
      </c>
      <c r="D113" t="inlineStr">
        <is>
          <t>-</t>
        </is>
      </c>
      <c r="E113" t="inlineStr">
        <is>
          <t>Easy</t>
        </is>
      </c>
      <c r="F113" t="n">
        <v>3</v>
      </c>
      <c r="G113" t="inlineStr">
        <is>
          <t>Dsa Fundamentals</t>
        </is>
      </c>
      <c r="H113" t="inlineStr">
        <is>
          <t>Array Basics</t>
        </is>
      </c>
      <c r="I113" t="inlineStr">
        <is>
          <t>Learnyard</t>
        </is>
      </c>
      <c r="J113" t="inlineStr">
        <is>
          <t>Lesson</t>
        </is>
      </c>
    </row>
    <row r="114">
      <c r="A114" t="n">
        <v>113</v>
      </c>
      <c r="B114" t="inlineStr">
        <is>
          <t>Find the Minimum Element in an Array</t>
        </is>
      </c>
      <c r="C114">
        <f>HYPERLINK("https://learnyard.com/practice/dsa","Solve Problem")</f>
        <v/>
      </c>
      <c r="D114" t="inlineStr">
        <is>
          <t>-</t>
        </is>
      </c>
      <c r="E114" t="inlineStr">
        <is>
          <t>Easy</t>
        </is>
      </c>
      <c r="F114" t="n">
        <v>3</v>
      </c>
      <c r="G114" t="inlineStr">
        <is>
          <t>Dsa Fundamentals</t>
        </is>
      </c>
      <c r="H114" t="inlineStr">
        <is>
          <t>Array Basics</t>
        </is>
      </c>
      <c r="I114" t="inlineStr">
        <is>
          <t>Learnyard</t>
        </is>
      </c>
      <c r="J114" t="inlineStr">
        <is>
          <t>Lesson</t>
        </is>
      </c>
    </row>
    <row r="115">
      <c r="A115" t="n">
        <v>114</v>
      </c>
      <c r="B115" t="inlineStr">
        <is>
          <t>Find the Second Maximum Element; if None, Print -1</t>
        </is>
      </c>
      <c r="C115">
        <f>HYPERLINK("https://learnyard.com/practice/dsa","Solve Problem")</f>
        <v/>
      </c>
      <c r="D115" t="inlineStr">
        <is>
          <t>-</t>
        </is>
      </c>
      <c r="E115" t="inlineStr">
        <is>
          <t>Easy</t>
        </is>
      </c>
      <c r="F115" t="n">
        <v>3</v>
      </c>
      <c r="G115" t="inlineStr">
        <is>
          <t>Dsa Fundamentals</t>
        </is>
      </c>
      <c r="H115" t="inlineStr">
        <is>
          <t>Array Basics</t>
        </is>
      </c>
      <c r="I115" t="inlineStr">
        <is>
          <t>Learnyard</t>
        </is>
      </c>
      <c r="J115" t="inlineStr">
        <is>
          <t>Lesson</t>
        </is>
      </c>
    </row>
    <row r="116">
      <c r="A116" t="n">
        <v>115</v>
      </c>
      <c r="B116" t="inlineStr">
        <is>
          <t>Find the Second Minimum Element; if None, Print -1</t>
        </is>
      </c>
      <c r="C116">
        <f>HYPERLINK("https://learnyard.com/practice/dsa","Solve Problem")</f>
        <v/>
      </c>
      <c r="D116" t="inlineStr">
        <is>
          <t>-</t>
        </is>
      </c>
      <c r="E116" t="inlineStr">
        <is>
          <t>Easy</t>
        </is>
      </c>
      <c r="F116" t="n">
        <v>3</v>
      </c>
      <c r="G116" t="inlineStr">
        <is>
          <t>Dsa Fundamentals</t>
        </is>
      </c>
      <c r="H116" t="inlineStr">
        <is>
          <t>Array Basics</t>
        </is>
      </c>
      <c r="I116" t="inlineStr">
        <is>
          <t>Learnyard</t>
        </is>
      </c>
      <c r="J116" t="inlineStr">
        <is>
          <t>Lesson</t>
        </is>
      </c>
    </row>
    <row r="117">
      <c r="A117" t="n">
        <v>116</v>
      </c>
      <c r="B117" t="inlineStr">
        <is>
          <t>Insert an Element at the Xth Position, Shifting Right</t>
        </is>
      </c>
      <c r="C117">
        <f>HYPERLINK("https://learnyard.com/practice/dsa","Solve Problem")</f>
        <v/>
      </c>
      <c r="D117" t="inlineStr">
        <is>
          <t>-</t>
        </is>
      </c>
      <c r="E117" t="inlineStr">
        <is>
          <t>Easy</t>
        </is>
      </c>
      <c r="F117" t="n">
        <v>3</v>
      </c>
      <c r="G117" t="inlineStr">
        <is>
          <t>Dsa Fundamentals</t>
        </is>
      </c>
      <c r="H117" t="inlineStr">
        <is>
          <t>Array Basics</t>
        </is>
      </c>
      <c r="I117" t="inlineStr">
        <is>
          <t>Learnyard</t>
        </is>
      </c>
      <c r="J117" t="inlineStr">
        <is>
          <t>Lesson</t>
        </is>
      </c>
    </row>
    <row r="118">
      <c r="A118" t="n">
        <v>117</v>
      </c>
      <c r="B118" t="inlineStr">
        <is>
          <t>Delete an Element at the Xth Position, Shifting Left</t>
        </is>
      </c>
      <c r="C118">
        <f>HYPERLINK("https://learnyard.com/practice/dsa","Solve Problem")</f>
        <v/>
      </c>
      <c r="D118" t="inlineStr">
        <is>
          <t>-</t>
        </is>
      </c>
      <c r="E118" t="inlineStr">
        <is>
          <t>Easy</t>
        </is>
      </c>
      <c r="F118" t="n">
        <v>3</v>
      </c>
      <c r="G118" t="inlineStr">
        <is>
          <t>Dsa Fundamentals</t>
        </is>
      </c>
      <c r="H118" t="inlineStr">
        <is>
          <t>Array Basics</t>
        </is>
      </c>
      <c r="I118" t="inlineStr">
        <is>
          <t>Learnyard</t>
        </is>
      </c>
      <c r="J118" t="inlineStr">
        <is>
          <t>Lesson</t>
        </is>
      </c>
    </row>
    <row r="119">
      <c r="A119" t="n">
        <v>118</v>
      </c>
      <c r="B119" t="inlineStr">
        <is>
          <t>Print ASCII Value of Each Character in a String</t>
        </is>
      </c>
      <c r="C119">
        <f>HYPERLINK("https://learnyard.com/practice/dsa","Solve Problem")</f>
        <v/>
      </c>
      <c r="D119" t="inlineStr">
        <is>
          <t>-</t>
        </is>
      </c>
      <c r="E119" t="inlineStr">
        <is>
          <t>Easy</t>
        </is>
      </c>
      <c r="F119" t="n">
        <v>3</v>
      </c>
      <c r="G119" t="inlineStr">
        <is>
          <t>Dsa Fundamentals</t>
        </is>
      </c>
      <c r="H119" t="inlineStr">
        <is>
          <t>String Basics</t>
        </is>
      </c>
      <c r="I119" t="inlineStr">
        <is>
          <t>Learnyard</t>
        </is>
      </c>
      <c r="J119" t="inlineStr">
        <is>
          <t>Lesson</t>
        </is>
      </c>
    </row>
    <row r="120">
      <c r="A120" t="n">
        <v>119</v>
      </c>
      <c r="B120" t="inlineStr">
        <is>
          <t>Count Letters, Numbers, and Special Characters in a String</t>
        </is>
      </c>
      <c r="C120">
        <f>HYPERLINK("https://learnyard.com/practice/dsa","Solve Problem")</f>
        <v/>
      </c>
      <c r="D120" t="inlineStr">
        <is>
          <t>-</t>
        </is>
      </c>
      <c r="E120" t="inlineStr">
        <is>
          <t>Easy</t>
        </is>
      </c>
      <c r="F120" t="n">
        <v>3</v>
      </c>
      <c r="G120" t="inlineStr">
        <is>
          <t>Dsa Fundamentals</t>
        </is>
      </c>
      <c r="H120" t="inlineStr">
        <is>
          <t>String Basics</t>
        </is>
      </c>
      <c r="I120" t="inlineStr">
        <is>
          <t>Learnyard</t>
        </is>
      </c>
      <c r="J120" t="inlineStr">
        <is>
          <t>Lesson</t>
        </is>
      </c>
    </row>
    <row r="121">
      <c r="A121" t="n">
        <v>120</v>
      </c>
      <c r="B121" t="inlineStr">
        <is>
          <t>Find the Difference between the Number of Consonants and Vowels</t>
        </is>
      </c>
      <c r="C121">
        <f>HYPERLINK("https://learnyard.com/practice/dsa","Solve Problem")</f>
        <v/>
      </c>
      <c r="D121" t="inlineStr">
        <is>
          <t>-</t>
        </is>
      </c>
      <c r="E121" t="inlineStr">
        <is>
          <t>Easy</t>
        </is>
      </c>
      <c r="F121" t="n">
        <v>3</v>
      </c>
      <c r="G121" t="inlineStr">
        <is>
          <t>Dsa Fundamentals</t>
        </is>
      </c>
      <c r="H121" t="inlineStr">
        <is>
          <t>String Basics</t>
        </is>
      </c>
      <c r="I121" t="inlineStr">
        <is>
          <t>Learnyard</t>
        </is>
      </c>
      <c r="J121" t="inlineStr">
        <is>
          <t>Lesson</t>
        </is>
      </c>
    </row>
    <row r="122">
      <c r="A122" t="n">
        <v>121</v>
      </c>
      <c r="B122" t="inlineStr">
        <is>
          <t>Convert Uppercase to Lowercase and Vice Versa in a String</t>
        </is>
      </c>
      <c r="C122">
        <f>HYPERLINK("https://learnyard.com/practice/dsa","Solve Problem")</f>
        <v/>
      </c>
      <c r="D122" t="inlineStr">
        <is>
          <t>-</t>
        </is>
      </c>
      <c r="E122" t="inlineStr">
        <is>
          <t>Easy</t>
        </is>
      </c>
      <c r="F122" t="n">
        <v>3</v>
      </c>
      <c r="G122" t="inlineStr">
        <is>
          <t>Dsa Fundamentals</t>
        </is>
      </c>
      <c r="H122" t="inlineStr">
        <is>
          <t>String Basics</t>
        </is>
      </c>
      <c r="I122" t="inlineStr">
        <is>
          <t>Learnyard</t>
        </is>
      </c>
      <c r="J122" t="inlineStr">
        <is>
          <t>Lesson</t>
        </is>
      </c>
    </row>
    <row r="123">
      <c r="A123" t="n">
        <v>122</v>
      </c>
      <c r="B123" t="inlineStr">
        <is>
          <t>Remove Leading, Trailing, and Extra Spaces in a String</t>
        </is>
      </c>
      <c r="C123">
        <f>HYPERLINK("https://learnyard.com/practice/dsa","Solve Problem")</f>
        <v/>
      </c>
      <c r="D123" t="inlineStr">
        <is>
          <t>-</t>
        </is>
      </c>
      <c r="E123" t="inlineStr">
        <is>
          <t>Easy</t>
        </is>
      </c>
      <c r="F123" t="n">
        <v>3</v>
      </c>
      <c r="G123" t="inlineStr">
        <is>
          <t>Dsa Fundamentals</t>
        </is>
      </c>
      <c r="H123" t="inlineStr">
        <is>
          <t>String Basics</t>
        </is>
      </c>
      <c r="I123" t="inlineStr">
        <is>
          <t>Learnyard</t>
        </is>
      </c>
      <c r="J123" t="inlineStr">
        <is>
          <t>Lesson</t>
        </is>
      </c>
    </row>
    <row r="124">
      <c r="A124" t="n">
        <v>123</v>
      </c>
      <c r="B124" t="inlineStr">
        <is>
          <t>Count the Number of Words in a String</t>
        </is>
      </c>
      <c r="C124">
        <f>HYPERLINK("https://learnyard.com/practice/dsa","Solve Problem")</f>
        <v/>
      </c>
      <c r="D124" t="inlineStr">
        <is>
          <t>-</t>
        </is>
      </c>
      <c r="E124" t="inlineStr">
        <is>
          <t>Easy</t>
        </is>
      </c>
      <c r="F124" t="n">
        <v>3</v>
      </c>
      <c r="G124" t="inlineStr">
        <is>
          <t>Dsa Fundamentals</t>
        </is>
      </c>
      <c r="H124" t="inlineStr">
        <is>
          <t>String Basics</t>
        </is>
      </c>
      <c r="I124" t="inlineStr">
        <is>
          <t>Learnyard</t>
        </is>
      </c>
      <c r="J124" t="inlineStr">
        <is>
          <t>Lesson</t>
        </is>
      </c>
    </row>
    <row r="125">
      <c r="A125" t="n">
        <v>124</v>
      </c>
      <c r="B125" t="inlineStr">
        <is>
          <t>Find the Maximum and Minimum Occurring Characters in a String</t>
        </is>
      </c>
      <c r="C125">
        <f>HYPERLINK("https://learnyard.com/practice/dsa","Solve Problem")</f>
        <v/>
      </c>
      <c r="D125" t="inlineStr">
        <is>
          <t>-</t>
        </is>
      </c>
      <c r="E125" t="inlineStr">
        <is>
          <t>Easy</t>
        </is>
      </c>
      <c r="F125" t="n">
        <v>3</v>
      </c>
      <c r="G125" t="inlineStr">
        <is>
          <t>Dsa Fundamentals</t>
        </is>
      </c>
      <c r="H125" t="inlineStr">
        <is>
          <t>String Basics</t>
        </is>
      </c>
      <c r="I125" t="inlineStr">
        <is>
          <t>Learnyard</t>
        </is>
      </c>
      <c r="J125" t="inlineStr">
        <is>
          <t>Lesson</t>
        </is>
      </c>
    </row>
    <row r="126">
      <c r="A126" t="n">
        <v>125</v>
      </c>
      <c r="B126" t="inlineStr">
        <is>
          <t>Check if There are Two or Three Consecutive Identical Characters in a String</t>
        </is>
      </c>
      <c r="C126">
        <f>HYPERLINK("https://learnyard.com/practice/dsa","Solve Problem")</f>
        <v/>
      </c>
      <c r="D126" t="inlineStr">
        <is>
          <t>-</t>
        </is>
      </c>
      <c r="E126" t="inlineStr">
        <is>
          <t>Easy</t>
        </is>
      </c>
      <c r="F126" t="n">
        <v>3</v>
      </c>
      <c r="G126" t="inlineStr">
        <is>
          <t>Dsa Fundamentals</t>
        </is>
      </c>
      <c r="H126" t="inlineStr">
        <is>
          <t>String Basics</t>
        </is>
      </c>
      <c r="I126" t="inlineStr">
        <is>
          <t>Learnyard</t>
        </is>
      </c>
      <c r="J126" t="inlineStr">
        <is>
          <t>Lesson</t>
        </is>
      </c>
    </row>
    <row r="127">
      <c r="A127" t="n">
        <v>126</v>
      </c>
      <c r="B127" t="inlineStr">
        <is>
          <t>Find the First and Last Index of Occurrence for Each Character in a String</t>
        </is>
      </c>
      <c r="C127">
        <f>HYPERLINK("https://learnyard.com/practice/dsa","Solve Problem")</f>
        <v/>
      </c>
      <c r="D127" t="inlineStr">
        <is>
          <t>-</t>
        </is>
      </c>
      <c r="E127" t="inlineStr">
        <is>
          <t>Easy</t>
        </is>
      </c>
      <c r="F127" t="n">
        <v>3</v>
      </c>
      <c r="G127" t="inlineStr">
        <is>
          <t>Dsa Fundamentals</t>
        </is>
      </c>
      <c r="H127" t="inlineStr">
        <is>
          <t>String Basics</t>
        </is>
      </c>
      <c r="I127" t="inlineStr">
        <is>
          <t>Learnyard</t>
        </is>
      </c>
      <c r="J127" t="inlineStr">
        <is>
          <t>Lesson</t>
        </is>
      </c>
    </row>
    <row r="128">
      <c r="A128" t="n">
        <v>127</v>
      </c>
      <c r="B128" t="inlineStr">
        <is>
          <t>Check if a String Contains All Letters from 'a' to 'z'</t>
        </is>
      </c>
      <c r="C128">
        <f>HYPERLINK("https://learnyard.com/practice/dsa","Solve Problem")</f>
        <v/>
      </c>
      <c r="D128" t="inlineStr">
        <is>
          <t>-</t>
        </is>
      </c>
      <c r="E128" t="inlineStr">
        <is>
          <t>Easy</t>
        </is>
      </c>
      <c r="F128" t="n">
        <v>3</v>
      </c>
      <c r="G128" t="inlineStr">
        <is>
          <t>Dsa Fundamentals</t>
        </is>
      </c>
      <c r="H128" t="inlineStr">
        <is>
          <t>String Basics</t>
        </is>
      </c>
      <c r="I128" t="inlineStr">
        <is>
          <t>Learnyard</t>
        </is>
      </c>
      <c r="J128" t="inlineStr">
        <is>
          <t>Lesson</t>
        </is>
      </c>
    </row>
    <row r="129">
      <c r="A129" t="n">
        <v>128</v>
      </c>
      <c r="B129" t="inlineStr">
        <is>
          <t>Insert a Character at the First, Last, and Kth Position in a String</t>
        </is>
      </c>
      <c r="C129">
        <f>HYPERLINK("https://learnyard.com/practice/dsa","Solve Problem")</f>
        <v/>
      </c>
      <c r="D129" t="inlineStr">
        <is>
          <t>-</t>
        </is>
      </c>
      <c r="E129" t="inlineStr">
        <is>
          <t>Easy</t>
        </is>
      </c>
      <c r="F129" t="n">
        <v>3</v>
      </c>
      <c r="G129" t="inlineStr">
        <is>
          <t>Dsa Fundamentals</t>
        </is>
      </c>
      <c r="H129" t="inlineStr">
        <is>
          <t>String Basics</t>
        </is>
      </c>
      <c r="I129" t="inlineStr">
        <is>
          <t>Learnyard</t>
        </is>
      </c>
      <c r="J129" t="inlineStr">
        <is>
          <t>Lesson</t>
        </is>
      </c>
    </row>
    <row r="130">
      <c r="A130" t="n">
        <v>129</v>
      </c>
      <c r="B130" t="inlineStr">
        <is>
          <t>Remove the First, Last, and Kth Character from a String</t>
        </is>
      </c>
      <c r="C130">
        <f>HYPERLINK("https://learnyard.com/practice/dsa","Solve Problem")</f>
        <v/>
      </c>
      <c r="D130" t="inlineStr">
        <is>
          <t>-</t>
        </is>
      </c>
      <c r="E130" t="inlineStr">
        <is>
          <t>Easy</t>
        </is>
      </c>
      <c r="F130" t="n">
        <v>3</v>
      </c>
      <c r="G130" t="inlineStr">
        <is>
          <t>Dsa Fundamentals</t>
        </is>
      </c>
      <c r="H130" t="inlineStr">
        <is>
          <t>String Basics</t>
        </is>
      </c>
      <c r="I130" t="inlineStr">
        <is>
          <t>Learnyard</t>
        </is>
      </c>
      <c r="J130" t="inlineStr">
        <is>
          <t>Lesson</t>
        </is>
      </c>
    </row>
    <row r="131">
      <c r="A131" t="n">
        <v>130</v>
      </c>
      <c r="B131" t="inlineStr">
        <is>
          <t>Find a Specific Substring within a String</t>
        </is>
      </c>
      <c r="C131">
        <f>HYPERLINK("https://learnyard.com/practice/dsa","Solve Problem")</f>
        <v/>
      </c>
      <c r="D131" t="inlineStr">
        <is>
          <t>-</t>
        </is>
      </c>
      <c r="E131" t="inlineStr">
        <is>
          <t>Easy</t>
        </is>
      </c>
      <c r="F131" t="n">
        <v>3</v>
      </c>
      <c r="G131" t="inlineStr">
        <is>
          <t>Dsa Fundamentals</t>
        </is>
      </c>
      <c r="H131" t="inlineStr">
        <is>
          <t>String Basics</t>
        </is>
      </c>
      <c r="I131" t="inlineStr">
        <is>
          <t>Learnyard</t>
        </is>
      </c>
      <c r="J131" t="inlineStr">
        <is>
          <t>Lesson</t>
        </is>
      </c>
    </row>
    <row r="132">
      <c r="A132" t="n">
        <v>131</v>
      </c>
      <c r="B132" t="inlineStr">
        <is>
          <t>Generate All Possible Substrings of a String</t>
        </is>
      </c>
      <c r="C132">
        <f>HYPERLINK("https://learnyard.com/practice/dsa","Solve Problem")</f>
        <v/>
      </c>
      <c r="D132" t="inlineStr">
        <is>
          <t>-</t>
        </is>
      </c>
      <c r="E132" t="inlineStr">
        <is>
          <t>Easy</t>
        </is>
      </c>
      <c r="F132" t="n">
        <v>3</v>
      </c>
      <c r="G132" t="inlineStr">
        <is>
          <t>Dsa Fundamentals</t>
        </is>
      </c>
      <c r="H132" t="inlineStr">
        <is>
          <t>String Basics</t>
        </is>
      </c>
      <c r="I132" t="inlineStr">
        <is>
          <t>Learnyard</t>
        </is>
      </c>
      <c r="J132" t="inlineStr">
        <is>
          <t>Lesson</t>
        </is>
      </c>
    </row>
    <row r="133">
      <c r="A133" t="n">
        <v>132</v>
      </c>
      <c r="B133" t="inlineStr">
        <is>
          <t>Print a Matrix Row-Wise and Column-Wise</t>
        </is>
      </c>
      <c r="C133">
        <f>HYPERLINK("https://learnyard.com/practice/dsa","Solve Problem")</f>
        <v/>
      </c>
      <c r="D133" t="inlineStr">
        <is>
          <t>-</t>
        </is>
      </c>
      <c r="E133" t="inlineStr">
        <is>
          <t>Easy</t>
        </is>
      </c>
      <c r="F133" t="n">
        <v>3</v>
      </c>
      <c r="G133" t="inlineStr">
        <is>
          <t>Dsa Fundamentals</t>
        </is>
      </c>
      <c r="H133" t="inlineStr">
        <is>
          <t>Matrix Basics</t>
        </is>
      </c>
      <c r="I133" t="inlineStr">
        <is>
          <t>Learnyard</t>
        </is>
      </c>
      <c r="J133" t="inlineStr">
        <is>
          <t>Lesson</t>
        </is>
      </c>
    </row>
    <row r="134">
      <c r="A134" t="n">
        <v>133</v>
      </c>
      <c r="B134" t="inlineStr">
        <is>
          <t>Calculate the Total Sum of Elements in a Matrix</t>
        </is>
      </c>
      <c r="C134">
        <f>HYPERLINK("https://learnyard.com/practice/dsa","Solve Problem")</f>
        <v/>
      </c>
      <c r="D134" t="inlineStr">
        <is>
          <t>-</t>
        </is>
      </c>
      <c r="E134" t="inlineStr">
        <is>
          <t>Easy</t>
        </is>
      </c>
      <c r="F134" t="n">
        <v>3</v>
      </c>
      <c r="G134" t="inlineStr">
        <is>
          <t>Dsa Fundamentals</t>
        </is>
      </c>
      <c r="H134" t="inlineStr">
        <is>
          <t>Matrix Basics</t>
        </is>
      </c>
      <c r="I134" t="inlineStr">
        <is>
          <t>Learnyard</t>
        </is>
      </c>
      <c r="J134" t="inlineStr">
        <is>
          <t>Lesson</t>
        </is>
      </c>
    </row>
    <row r="135">
      <c r="A135" t="n">
        <v>134</v>
      </c>
      <c r="B135" t="inlineStr">
        <is>
          <t>Calculate the Sum of Each Row and Each Column in a Matrix</t>
        </is>
      </c>
      <c r="C135">
        <f>HYPERLINK("https://learnyard.com/practice/dsa","Solve Problem")</f>
        <v/>
      </c>
      <c r="D135" t="inlineStr">
        <is>
          <t>-</t>
        </is>
      </c>
      <c r="E135" t="inlineStr">
        <is>
          <t>Easy</t>
        </is>
      </c>
      <c r="F135" t="n">
        <v>3</v>
      </c>
      <c r="G135" t="inlineStr">
        <is>
          <t>Dsa Fundamentals</t>
        </is>
      </c>
      <c r="H135" t="inlineStr">
        <is>
          <t>Matrix Basics</t>
        </is>
      </c>
      <c r="I135" t="inlineStr">
        <is>
          <t>Learnyard</t>
        </is>
      </c>
      <c r="J135" t="inlineStr">
        <is>
          <t>Lesson</t>
        </is>
      </c>
    </row>
    <row r="136">
      <c r="A136" t="n">
        <v>135</v>
      </c>
      <c r="B136" t="inlineStr">
        <is>
          <t>Find the Maximum and Minimum Values in Each Row of a Matrix</t>
        </is>
      </c>
      <c r="C136">
        <f>HYPERLINK("https://learnyard.com/practice/dsa","Solve Problem")</f>
        <v/>
      </c>
      <c r="D136" t="inlineStr">
        <is>
          <t>-</t>
        </is>
      </c>
      <c r="E136" t="inlineStr">
        <is>
          <t>Easy</t>
        </is>
      </c>
      <c r="F136" t="n">
        <v>3</v>
      </c>
      <c r="G136" t="inlineStr">
        <is>
          <t>Dsa Fundamentals</t>
        </is>
      </c>
      <c r="H136" t="inlineStr">
        <is>
          <t>Matrix Basics</t>
        </is>
      </c>
      <c r="I136" t="inlineStr">
        <is>
          <t>Learnyard</t>
        </is>
      </c>
      <c r="J136" t="inlineStr">
        <is>
          <t>Lesson</t>
        </is>
      </c>
    </row>
    <row r="137">
      <c r="A137" t="n">
        <v>136</v>
      </c>
      <c r="B137" t="inlineStr">
        <is>
          <t>Find the Maximum and Minimum Values in Each Column of a Matrix</t>
        </is>
      </c>
      <c r="C137">
        <f>HYPERLINK("https://learnyard.com/practice/dsa","Solve Problem")</f>
        <v/>
      </c>
      <c r="D137" t="inlineStr">
        <is>
          <t>-</t>
        </is>
      </c>
      <c r="E137" t="inlineStr">
        <is>
          <t>Easy</t>
        </is>
      </c>
      <c r="F137" t="n">
        <v>3</v>
      </c>
      <c r="G137" t="inlineStr">
        <is>
          <t>Dsa Fundamentals</t>
        </is>
      </c>
      <c r="H137" t="inlineStr">
        <is>
          <t>Matrix Basics</t>
        </is>
      </c>
      <c r="I137" t="inlineStr">
        <is>
          <t>Learnyard</t>
        </is>
      </c>
      <c r="J137" t="inlineStr">
        <is>
          <t>Lesson</t>
        </is>
      </c>
    </row>
    <row r="138">
      <c r="A138" t="n">
        <v>137</v>
      </c>
      <c r="B138" t="inlineStr">
        <is>
          <t>Add and Subtract Two Matrices</t>
        </is>
      </c>
      <c r="C138">
        <f>HYPERLINK("https://learnyard.com/practice/dsa","Solve Problem")</f>
        <v/>
      </c>
      <c r="D138" t="inlineStr">
        <is>
          <t>-</t>
        </is>
      </c>
      <c r="E138" t="inlineStr">
        <is>
          <t>Easy</t>
        </is>
      </c>
      <c r="F138" t="n">
        <v>3</v>
      </c>
      <c r="G138" t="inlineStr">
        <is>
          <t>Dsa Fundamentals</t>
        </is>
      </c>
      <c r="H138" t="inlineStr">
        <is>
          <t>Matrix Basics</t>
        </is>
      </c>
      <c r="I138" t="inlineStr">
        <is>
          <t>Learnyard</t>
        </is>
      </c>
      <c r="J138" t="inlineStr">
        <is>
          <t>Lesson</t>
        </is>
      </c>
    </row>
    <row r="139">
      <c r="A139" t="n">
        <v>138</v>
      </c>
      <c r="B139" t="inlineStr">
        <is>
          <t>Print the Upper Triangle and Lower Triangle of a Matrix</t>
        </is>
      </c>
      <c r="C139">
        <f>HYPERLINK("https://learnyard.com/practice/dsa","Solve Problem")</f>
        <v/>
      </c>
      <c r="D139" t="inlineStr">
        <is>
          <t>-</t>
        </is>
      </c>
      <c r="E139" t="inlineStr">
        <is>
          <t>Easy</t>
        </is>
      </c>
      <c r="F139" t="n">
        <v>3</v>
      </c>
      <c r="G139" t="inlineStr">
        <is>
          <t>Dsa Fundamentals</t>
        </is>
      </c>
      <c r="H139" t="inlineStr">
        <is>
          <t>Matrix Basics</t>
        </is>
      </c>
      <c r="I139" t="inlineStr">
        <is>
          <t>Learnyard</t>
        </is>
      </c>
      <c r="J139" t="inlineStr">
        <is>
          <t>Lesson</t>
        </is>
      </c>
    </row>
    <row r="140">
      <c r="A140" t="n">
        <v>139</v>
      </c>
      <c r="B140" t="inlineStr">
        <is>
          <t>Print the Left and Right Diagonals of a Matrix</t>
        </is>
      </c>
      <c r="C140">
        <f>HYPERLINK("https://learnyard.com/practice/dsa","Solve Problem")</f>
        <v/>
      </c>
      <c r="D140" t="inlineStr">
        <is>
          <t>-</t>
        </is>
      </c>
      <c r="E140" t="inlineStr">
        <is>
          <t>Easy</t>
        </is>
      </c>
      <c r="F140" t="n">
        <v>3</v>
      </c>
      <c r="G140" t="inlineStr">
        <is>
          <t>Dsa Fundamentals</t>
        </is>
      </c>
      <c r="H140" t="inlineStr">
        <is>
          <t>Matrix Basics</t>
        </is>
      </c>
      <c r="I140" t="inlineStr">
        <is>
          <t>Learnyard</t>
        </is>
      </c>
      <c r="J140" t="inlineStr">
        <is>
          <t>Lesson</t>
        </is>
      </c>
    </row>
    <row r="141">
      <c r="A141" t="n">
        <v>140</v>
      </c>
      <c r="B141" t="inlineStr">
        <is>
          <t>Print the Boundary Elements of a Matrix</t>
        </is>
      </c>
      <c r="C141">
        <f>HYPERLINK("https://learnyard.com/practice/dsa","Solve Problem")</f>
        <v/>
      </c>
      <c r="D141" t="inlineStr">
        <is>
          <t>-</t>
        </is>
      </c>
      <c r="E141" t="inlineStr">
        <is>
          <t>Easy</t>
        </is>
      </c>
      <c r="F141" t="n">
        <v>3</v>
      </c>
      <c r="G141" t="inlineStr">
        <is>
          <t>Dsa Fundamentals</t>
        </is>
      </c>
      <c r="H141" t="inlineStr">
        <is>
          <t>Matrix Basics</t>
        </is>
      </c>
      <c r="I141" t="inlineStr">
        <is>
          <t>Learnyard</t>
        </is>
      </c>
      <c r="J141" t="inlineStr">
        <is>
          <t>Lesson</t>
        </is>
      </c>
    </row>
    <row r="142">
      <c r="A142" t="n">
        <v>141</v>
      </c>
      <c r="B142" t="inlineStr">
        <is>
          <t>Sort the Matrix Row-Wise and Column-Wise</t>
        </is>
      </c>
      <c r="C142">
        <f>HYPERLINK("https://learnyard.com/practice/dsa","Solve Problem")</f>
        <v/>
      </c>
      <c r="D142" t="inlineStr">
        <is>
          <t>-</t>
        </is>
      </c>
      <c r="E142" t="inlineStr">
        <is>
          <t>Easy</t>
        </is>
      </c>
      <c r="F142" t="n">
        <v>3</v>
      </c>
      <c r="G142" t="inlineStr">
        <is>
          <t>Dsa Fundamentals</t>
        </is>
      </c>
      <c r="H142" t="inlineStr">
        <is>
          <t>Matrix Basics</t>
        </is>
      </c>
      <c r="I142" t="inlineStr">
        <is>
          <t>Learnyard</t>
        </is>
      </c>
      <c r="J142" t="inlineStr">
        <is>
          <t>Lesson</t>
        </is>
      </c>
    </row>
    <row r="143">
      <c r="A143" t="n">
        <v>142</v>
      </c>
      <c r="B143" t="inlineStr">
        <is>
          <t>Print the Matrix in a Zig-Zag Pattern</t>
        </is>
      </c>
      <c r="C143">
        <f>HYPERLINK("https://learnyard.com/practice/dsa","Solve Problem")</f>
        <v/>
      </c>
      <c r="D143" t="inlineStr">
        <is>
          <t>-</t>
        </is>
      </c>
      <c r="E143" t="inlineStr">
        <is>
          <t>Easy</t>
        </is>
      </c>
      <c r="F143" t="n">
        <v>3</v>
      </c>
      <c r="G143" t="inlineStr">
        <is>
          <t>Dsa Fundamentals</t>
        </is>
      </c>
      <c r="H143" t="inlineStr">
        <is>
          <t>Matrix Basics</t>
        </is>
      </c>
      <c r="I143" t="inlineStr">
        <is>
          <t>Learnyard</t>
        </is>
      </c>
      <c r="J143" t="inlineStr">
        <is>
          <t>Lesson</t>
        </is>
      </c>
    </row>
    <row r="144">
      <c r="A144" t="n">
        <v>143</v>
      </c>
      <c r="B144" t="inlineStr">
        <is>
          <t>Check if a Matrix is Symmetric</t>
        </is>
      </c>
      <c r="C144">
        <f>HYPERLINK("https://learnyard.com/practice/dsa","Solve Problem")</f>
        <v/>
      </c>
      <c r="D144" t="inlineStr">
        <is>
          <t>-</t>
        </is>
      </c>
      <c r="E144" t="inlineStr">
        <is>
          <t>Easy</t>
        </is>
      </c>
      <c r="F144" t="n">
        <v>3</v>
      </c>
      <c r="G144" t="inlineStr">
        <is>
          <t>Dsa Fundamentals</t>
        </is>
      </c>
      <c r="H144" t="inlineStr">
        <is>
          <t>Matrix Basics</t>
        </is>
      </c>
      <c r="I144" t="inlineStr">
        <is>
          <t>Learnyard</t>
        </is>
      </c>
      <c r="J144" t="inlineStr">
        <is>
          <t>Lesson</t>
        </is>
      </c>
    </row>
    <row r="145">
      <c r="A145" t="n">
        <v>144</v>
      </c>
      <c r="B145" t="inlineStr">
        <is>
          <t>Check if a Matrix is an Identity Matrix</t>
        </is>
      </c>
      <c r="C145">
        <f>HYPERLINK("https://learnyard.com/practice/dsa","Solve Problem")</f>
        <v/>
      </c>
      <c r="D145" t="inlineStr">
        <is>
          <t>-</t>
        </is>
      </c>
      <c r="E145" t="inlineStr">
        <is>
          <t>Easy</t>
        </is>
      </c>
      <c r="F145" t="n">
        <v>3</v>
      </c>
      <c r="G145" t="inlineStr">
        <is>
          <t>Dsa Fundamentals</t>
        </is>
      </c>
      <c r="H145" t="inlineStr">
        <is>
          <t>Matrix Basics</t>
        </is>
      </c>
      <c r="I145" t="inlineStr">
        <is>
          <t>Learnyard</t>
        </is>
      </c>
      <c r="J145" t="inlineStr">
        <is>
          <t>Lesson</t>
        </is>
      </c>
    </row>
    <row r="146">
      <c r="A146" t="n">
        <v>145</v>
      </c>
      <c r="B146" t="inlineStr">
        <is>
          <t>Check if a Matrix is Sparse (Mostly Zeroes)</t>
        </is>
      </c>
      <c r="C146">
        <f>HYPERLINK("https://learnyard.com/practice/dsa","Solve Problem")</f>
        <v/>
      </c>
      <c r="D146" t="inlineStr">
        <is>
          <t>-</t>
        </is>
      </c>
      <c r="E146" t="inlineStr">
        <is>
          <t>Easy</t>
        </is>
      </c>
      <c r="F146" t="n">
        <v>3</v>
      </c>
      <c r="G146" t="inlineStr">
        <is>
          <t>Dsa Fundamentals</t>
        </is>
      </c>
      <c r="H146" t="inlineStr">
        <is>
          <t>Matrix Basics</t>
        </is>
      </c>
      <c r="I146" t="inlineStr">
        <is>
          <t>Learnyard</t>
        </is>
      </c>
      <c r="J146" t="inlineStr">
        <is>
          <t>Lesson</t>
        </is>
      </c>
    </row>
    <row r="147">
      <c r="A147" t="n">
        <v>146</v>
      </c>
      <c r="B147" t="inlineStr">
        <is>
          <t>Find the Inverse of a Matrix</t>
        </is>
      </c>
      <c r="C147">
        <f>HYPERLINK("https://learnyard.com/practice/dsa","Solve Problem")</f>
        <v/>
      </c>
      <c r="D147" t="inlineStr">
        <is>
          <t>-</t>
        </is>
      </c>
      <c r="E147" t="inlineStr">
        <is>
          <t>Easy</t>
        </is>
      </c>
      <c r="F147" t="n">
        <v>3</v>
      </c>
      <c r="G147" t="inlineStr">
        <is>
          <t>Dsa Fundamentals</t>
        </is>
      </c>
      <c r="H147" t="inlineStr">
        <is>
          <t>Matrix Basics</t>
        </is>
      </c>
      <c r="I147" t="inlineStr">
        <is>
          <t>Learnyard</t>
        </is>
      </c>
      <c r="J147" t="inlineStr">
        <is>
          <t>Lesson</t>
        </is>
      </c>
    </row>
    <row r="148">
      <c r="A148" t="n">
        <v>147</v>
      </c>
      <c r="B148" t="inlineStr">
        <is>
          <t>Perform Basic Operations (Addition, Subtraction, Multiplication, Division) using Two Numbers</t>
        </is>
      </c>
      <c r="C148">
        <f>HYPERLINK("https://learnyard.com/practice/dsa","Solve Problem")</f>
        <v/>
      </c>
      <c r="D148" t="inlineStr">
        <is>
          <t>-</t>
        </is>
      </c>
      <c r="E148" t="inlineStr">
        <is>
          <t>Easy</t>
        </is>
      </c>
      <c r="F148" t="n">
        <v>3</v>
      </c>
      <c r="G148" t="inlineStr">
        <is>
          <t>Dsa Fundamentals</t>
        </is>
      </c>
      <c r="H148" t="inlineStr">
        <is>
          <t>Math Basics</t>
        </is>
      </c>
      <c r="I148" t="inlineStr">
        <is>
          <t>Learnyard</t>
        </is>
      </c>
      <c r="J148" t="inlineStr">
        <is>
          <t>Lesson</t>
        </is>
      </c>
    </row>
    <row r="149">
      <c r="A149" t="n">
        <v>148</v>
      </c>
      <c r="B149" t="inlineStr">
        <is>
          <t>Find the Sum of Digits of a Number</t>
        </is>
      </c>
      <c r="C149">
        <f>HYPERLINK("https://learnyard.com/practice/dsa","Solve Problem")</f>
        <v/>
      </c>
      <c r="D149" t="inlineStr">
        <is>
          <t>-</t>
        </is>
      </c>
      <c r="E149" t="inlineStr">
        <is>
          <t>Easy</t>
        </is>
      </c>
      <c r="F149" t="n">
        <v>3</v>
      </c>
      <c r="G149" t="inlineStr">
        <is>
          <t>Dsa Fundamentals</t>
        </is>
      </c>
      <c r="H149" t="inlineStr">
        <is>
          <t>Math Basics</t>
        </is>
      </c>
      <c r="I149" t="inlineStr">
        <is>
          <t>Learnyard</t>
        </is>
      </c>
      <c r="J149" t="inlineStr">
        <is>
          <t>Lesson</t>
        </is>
      </c>
    </row>
    <row r="150">
      <c r="A150" t="n">
        <v>149</v>
      </c>
      <c r="B150" t="inlineStr">
        <is>
          <t>Reverse a Given Number</t>
        </is>
      </c>
      <c r="C150">
        <f>HYPERLINK("https://learnyard.com/practice/dsa","Solve Problem")</f>
        <v/>
      </c>
      <c r="D150" t="inlineStr">
        <is>
          <t>-</t>
        </is>
      </c>
      <c r="E150" t="inlineStr">
        <is>
          <t>Easy</t>
        </is>
      </c>
      <c r="F150" t="n">
        <v>3</v>
      </c>
      <c r="G150" t="inlineStr">
        <is>
          <t>Dsa Fundamentals</t>
        </is>
      </c>
      <c r="H150" t="inlineStr">
        <is>
          <t>Math Basics</t>
        </is>
      </c>
      <c r="I150" t="inlineStr">
        <is>
          <t>Learnyard</t>
        </is>
      </c>
      <c r="J150" t="inlineStr">
        <is>
          <t>Lesson</t>
        </is>
      </c>
    </row>
    <row r="151">
      <c r="A151" t="n">
        <v>150</v>
      </c>
      <c r="B151" t="inlineStr">
        <is>
          <t>Check if a Number is a Palindrome</t>
        </is>
      </c>
      <c r="C151">
        <f>HYPERLINK("https://learnyard.com/practice/dsa","Solve Problem")</f>
        <v/>
      </c>
      <c r="D151" t="inlineStr">
        <is>
          <t>-</t>
        </is>
      </c>
      <c r="E151" t="inlineStr">
        <is>
          <t>Easy</t>
        </is>
      </c>
      <c r="F151" t="n">
        <v>3</v>
      </c>
      <c r="G151" t="inlineStr">
        <is>
          <t>Dsa Fundamentals</t>
        </is>
      </c>
      <c r="H151" t="inlineStr">
        <is>
          <t>Math Basics</t>
        </is>
      </c>
      <c r="I151" t="inlineStr">
        <is>
          <t>Learnyard</t>
        </is>
      </c>
      <c r="J151" t="inlineStr">
        <is>
          <t>Lesson</t>
        </is>
      </c>
    </row>
    <row r="152">
      <c r="A152" t="n">
        <v>151</v>
      </c>
      <c r="B152" t="inlineStr">
        <is>
          <t>Check if a Number is an Armstrong Number</t>
        </is>
      </c>
      <c r="C152">
        <f>HYPERLINK("https://learnyard.com/practice/dsa","Solve Problem")</f>
        <v/>
      </c>
      <c r="D152" t="inlineStr">
        <is>
          <t>-</t>
        </is>
      </c>
      <c r="E152" t="inlineStr">
        <is>
          <t>Easy</t>
        </is>
      </c>
      <c r="F152" t="n">
        <v>3</v>
      </c>
      <c r="G152" t="inlineStr">
        <is>
          <t>Dsa Fundamentals</t>
        </is>
      </c>
      <c r="H152" t="inlineStr">
        <is>
          <t>Math Basics</t>
        </is>
      </c>
      <c r="I152" t="inlineStr">
        <is>
          <t>Learnyard</t>
        </is>
      </c>
      <c r="J152" t="inlineStr">
        <is>
          <t>Lesson</t>
        </is>
      </c>
    </row>
    <row r="153">
      <c r="A153" t="n">
        <v>152</v>
      </c>
      <c r="B153" t="inlineStr">
        <is>
          <t>Count the Total Occurrences of the Digit '1' in All Positive Integers Less than or Equal to a Given Integer n</t>
        </is>
      </c>
      <c r="C153">
        <f>HYPERLINK("https://learnyard.com/practice/dsa","Solve Problem")</f>
        <v/>
      </c>
      <c r="D153" t="inlineStr">
        <is>
          <t>-</t>
        </is>
      </c>
      <c r="E153" t="inlineStr">
        <is>
          <t>Easy</t>
        </is>
      </c>
      <c r="F153" t="n">
        <v>3</v>
      </c>
      <c r="G153" t="inlineStr">
        <is>
          <t>Dsa Fundamentals</t>
        </is>
      </c>
      <c r="H153" t="inlineStr">
        <is>
          <t>Math Basics</t>
        </is>
      </c>
      <c r="I153" t="inlineStr">
        <is>
          <t>Learnyard</t>
        </is>
      </c>
      <c r="J153" t="inlineStr">
        <is>
          <t>Lesson</t>
        </is>
      </c>
    </row>
    <row r="154">
      <c r="A154" t="n">
        <v>153</v>
      </c>
      <c r="B154" t="inlineStr">
        <is>
          <t>Generate Fibonacci Numbers up to a Given Limit</t>
        </is>
      </c>
      <c r="C154">
        <f>HYPERLINK("https://learnyard.com/practice/dsa","Solve Problem")</f>
        <v/>
      </c>
      <c r="D154" t="inlineStr">
        <is>
          <t>-</t>
        </is>
      </c>
      <c r="E154" t="inlineStr">
        <is>
          <t>Easy</t>
        </is>
      </c>
      <c r="F154" t="n">
        <v>3</v>
      </c>
      <c r="G154" t="inlineStr">
        <is>
          <t>Dsa Fundamentals</t>
        </is>
      </c>
      <c r="H154" t="inlineStr">
        <is>
          <t>Math Basics</t>
        </is>
      </c>
      <c r="I154" t="inlineStr">
        <is>
          <t>Learnyard</t>
        </is>
      </c>
      <c r="J154" t="inlineStr">
        <is>
          <t>Lesson</t>
        </is>
      </c>
    </row>
    <row r="155">
      <c r="A155" t="n">
        <v>154</v>
      </c>
      <c r="B155" t="inlineStr">
        <is>
          <t>Calculate the Factorial of a Number</t>
        </is>
      </c>
      <c r="C155">
        <f>HYPERLINK("https://learnyard.com/practice/dsa","Solve Problem")</f>
        <v/>
      </c>
      <c r="D155" t="inlineStr">
        <is>
          <t>-</t>
        </is>
      </c>
      <c r="E155" t="inlineStr">
        <is>
          <t>Easy</t>
        </is>
      </c>
      <c r="F155" t="n">
        <v>3</v>
      </c>
      <c r="G155" t="inlineStr">
        <is>
          <t>Dsa Fundamentals</t>
        </is>
      </c>
      <c r="H155" t="inlineStr">
        <is>
          <t>Math Basics</t>
        </is>
      </c>
      <c r="I155" t="inlineStr">
        <is>
          <t>Learnyard</t>
        </is>
      </c>
      <c r="J155" t="inlineStr">
        <is>
          <t>Lesson</t>
        </is>
      </c>
    </row>
    <row r="156">
      <c r="A156" t="n">
        <v>155</v>
      </c>
      <c r="B156" t="inlineStr">
        <is>
          <t>Find the Number of Trailing Zeroes in the Factorial of a Given Number n</t>
        </is>
      </c>
      <c r="C156">
        <f>HYPERLINK("https://learnyard.com/practice/dsa","Solve Problem")</f>
        <v/>
      </c>
      <c r="D156" t="inlineStr">
        <is>
          <t>-</t>
        </is>
      </c>
      <c r="E156" t="inlineStr">
        <is>
          <t>Easy</t>
        </is>
      </c>
      <c r="F156" t="n">
        <v>3</v>
      </c>
      <c r="G156" t="inlineStr">
        <is>
          <t>Dsa Fundamentals</t>
        </is>
      </c>
      <c r="H156" t="inlineStr">
        <is>
          <t>Math Basics</t>
        </is>
      </c>
      <c r="I156" t="inlineStr">
        <is>
          <t>Learnyard</t>
        </is>
      </c>
      <c r="J156" t="inlineStr">
        <is>
          <t>Lesson</t>
        </is>
      </c>
    </row>
    <row r="157">
      <c r="A157" t="n">
        <v>156</v>
      </c>
      <c r="B157" t="inlineStr">
        <is>
          <t>Calculate the LCM and GCD of Two Numbers</t>
        </is>
      </c>
      <c r="C157">
        <f>HYPERLINK("https://learnyard.com/practice/dsa","Solve Problem")</f>
        <v/>
      </c>
      <c r="D157" t="inlineStr">
        <is>
          <t>-</t>
        </is>
      </c>
      <c r="E157" t="inlineStr">
        <is>
          <t>Easy</t>
        </is>
      </c>
      <c r="F157" t="n">
        <v>3</v>
      </c>
      <c r="G157" t="inlineStr">
        <is>
          <t>Dsa Fundamentals</t>
        </is>
      </c>
      <c r="H157" t="inlineStr">
        <is>
          <t>Math Basics</t>
        </is>
      </c>
      <c r="I157" t="inlineStr">
        <is>
          <t>Learnyard</t>
        </is>
      </c>
      <c r="J157" t="inlineStr">
        <is>
          <t>Lesson</t>
        </is>
      </c>
    </row>
    <row r="158">
      <c r="A158" t="n">
        <v>157</v>
      </c>
      <c r="B158" t="inlineStr">
        <is>
          <t>Check if a Number is Prime without using the Sieve of Eratosthenes</t>
        </is>
      </c>
      <c r="C158">
        <f>HYPERLINK("https://learnyard.com/practice/dsa","Solve Problem")</f>
        <v/>
      </c>
      <c r="D158" t="inlineStr">
        <is>
          <t>-</t>
        </is>
      </c>
      <c r="E158" t="inlineStr">
        <is>
          <t>Easy</t>
        </is>
      </c>
      <c r="F158" t="n">
        <v>3</v>
      </c>
      <c r="G158" t="inlineStr">
        <is>
          <t>Dsa Fundamentals</t>
        </is>
      </c>
      <c r="H158" t="inlineStr">
        <is>
          <t>Math Basics</t>
        </is>
      </c>
      <c r="I158" t="inlineStr">
        <is>
          <t>Learnyard</t>
        </is>
      </c>
      <c r="J158" t="inlineStr">
        <is>
          <t>Lesson</t>
        </is>
      </c>
    </row>
    <row r="159">
      <c r="A159" t="n">
        <v>158</v>
      </c>
      <c r="B159" t="inlineStr">
        <is>
          <t>Check if Two Numbers are Co-Prime</t>
        </is>
      </c>
      <c r="C159">
        <f>HYPERLINK("https://learnyard.com/practice/dsa","Solve Problem")</f>
        <v/>
      </c>
      <c r="D159" t="inlineStr">
        <is>
          <t>-</t>
        </is>
      </c>
      <c r="E159" t="inlineStr">
        <is>
          <t>Easy</t>
        </is>
      </c>
      <c r="F159" t="n">
        <v>3</v>
      </c>
      <c r="G159" t="inlineStr">
        <is>
          <t>Dsa Fundamentals</t>
        </is>
      </c>
      <c r="H159" t="inlineStr">
        <is>
          <t>Math Basics</t>
        </is>
      </c>
      <c r="I159" t="inlineStr">
        <is>
          <t>Learnyard</t>
        </is>
      </c>
      <c r="J159" t="inlineStr">
        <is>
          <t>Lesson</t>
        </is>
      </c>
    </row>
    <row r="160">
      <c r="A160" t="n">
        <v>159</v>
      </c>
      <c r="B160" t="inlineStr">
        <is>
          <t>Find All Divisors of a Given Number</t>
        </is>
      </c>
      <c r="C160">
        <f>HYPERLINK("https://learnyard.com/practice/dsa","Solve Problem")</f>
        <v/>
      </c>
      <c r="D160" t="inlineStr">
        <is>
          <t>-</t>
        </is>
      </c>
      <c r="E160" t="inlineStr">
        <is>
          <t>Easy</t>
        </is>
      </c>
      <c r="F160" t="n">
        <v>3</v>
      </c>
      <c r="G160" t="inlineStr">
        <is>
          <t>Dsa Fundamentals</t>
        </is>
      </c>
      <c r="H160" t="inlineStr">
        <is>
          <t>Math Basics</t>
        </is>
      </c>
      <c r="I160" t="inlineStr">
        <is>
          <t>Learnyard</t>
        </is>
      </c>
      <c r="J160" t="inlineStr">
        <is>
          <t>Lesson</t>
        </is>
      </c>
    </row>
    <row r="161">
      <c r="A161" t="n">
        <v>160</v>
      </c>
      <c r="B161" t="inlineStr">
        <is>
          <t>Perform Modulo Operations</t>
        </is>
      </c>
      <c r="C161">
        <f>HYPERLINK("https://learnyard.com/practice/dsa","Solve Problem")</f>
        <v/>
      </c>
      <c r="D161" t="inlineStr">
        <is>
          <t>-</t>
        </is>
      </c>
      <c r="E161" t="inlineStr">
        <is>
          <t>Easy</t>
        </is>
      </c>
      <c r="F161" t="n">
        <v>3</v>
      </c>
      <c r="G161" t="inlineStr">
        <is>
          <t>Dsa Fundamentals</t>
        </is>
      </c>
      <c r="H161" t="inlineStr">
        <is>
          <t>Math Basics</t>
        </is>
      </c>
      <c r="I161" t="inlineStr">
        <is>
          <t>Learnyard</t>
        </is>
      </c>
      <c r="J161" t="inlineStr">
        <is>
          <t>Lesson</t>
        </is>
      </c>
    </row>
    <row r="162">
      <c r="A162" t="n">
        <v>161</v>
      </c>
      <c r="B162" t="inlineStr">
        <is>
          <t>Check Divisibility Rules for Numbers from 1 to 20</t>
        </is>
      </c>
      <c r="C162">
        <f>HYPERLINK("https://learnyard.com/practice/dsa","Solve Problem")</f>
        <v/>
      </c>
      <c r="D162" t="inlineStr">
        <is>
          <t>-</t>
        </is>
      </c>
      <c r="E162" t="inlineStr">
        <is>
          <t>Easy</t>
        </is>
      </c>
      <c r="F162" t="n">
        <v>3</v>
      </c>
      <c r="G162" t="inlineStr">
        <is>
          <t>Dsa Fundamentals</t>
        </is>
      </c>
      <c r="H162" t="inlineStr">
        <is>
          <t>Math Basics</t>
        </is>
      </c>
      <c r="I162" t="inlineStr">
        <is>
          <t>Learnyard</t>
        </is>
      </c>
      <c r="J162" t="inlineStr">
        <is>
          <t>Lesson</t>
        </is>
      </c>
    </row>
    <row r="163">
      <c r="A163" t="n">
        <v>162</v>
      </c>
      <c r="B163" t="inlineStr">
        <is>
          <t>Introduction to Recursion</t>
        </is>
      </c>
      <c r="C163">
        <f>HYPERLINK("https://read.learnyard.com/dsa/introduction-to-recursion/","Solve Problem")</f>
        <v/>
      </c>
      <c r="D163" t="inlineStr">
        <is>
          <t>-</t>
        </is>
      </c>
      <c r="E163" t="inlineStr">
        <is>
          <t>Theory</t>
        </is>
      </c>
      <c r="F163" t="n">
        <v>3</v>
      </c>
      <c r="G163" t="inlineStr">
        <is>
          <t>Dsa Fundamentals</t>
        </is>
      </c>
      <c r="H163" t="inlineStr">
        <is>
          <t>Recursion Basics</t>
        </is>
      </c>
      <c r="I163" t="inlineStr">
        <is>
          <t>Learnyard</t>
        </is>
      </c>
      <c r="J163" t="inlineStr">
        <is>
          <t>Lesson</t>
        </is>
      </c>
    </row>
    <row r="164">
      <c r="A164" t="n">
        <v>163</v>
      </c>
      <c r="B164" t="inlineStr">
        <is>
          <t>Getting a hang of Recursion</t>
        </is>
      </c>
      <c r="C164">
        <f>HYPERLINK("https://read.learnyard.com/dsa/getting-a-hang-of-recursion/","Solve Problem")</f>
        <v/>
      </c>
      <c r="D164" t="inlineStr">
        <is>
          <t>-</t>
        </is>
      </c>
      <c r="E164" t="inlineStr">
        <is>
          <t>Theory</t>
        </is>
      </c>
      <c r="F164" t="n">
        <v>3</v>
      </c>
      <c r="G164" t="inlineStr">
        <is>
          <t>Dsa Fundamentals</t>
        </is>
      </c>
      <c r="H164" t="inlineStr">
        <is>
          <t>Recursion Basics</t>
        </is>
      </c>
      <c r="I164" t="inlineStr">
        <is>
          <t>Learnyard</t>
        </is>
      </c>
      <c r="J164" t="inlineStr">
        <is>
          <t>Lesson</t>
        </is>
      </c>
    </row>
    <row r="165">
      <c r="A165" t="n">
        <v>164</v>
      </c>
      <c r="B165" t="inlineStr">
        <is>
          <t>Some simple problems using Recursion</t>
        </is>
      </c>
      <c r="C165">
        <f>HYPERLINK("https://read.learnyard.com/dsa/some-simple-problems-using-recursion/","Solve Problem")</f>
        <v/>
      </c>
      <c r="D165" t="inlineStr">
        <is>
          <t>-</t>
        </is>
      </c>
      <c r="E165" t="inlineStr">
        <is>
          <t>Theory</t>
        </is>
      </c>
      <c r="F165" t="n">
        <v>3</v>
      </c>
      <c r="G165" t="inlineStr">
        <is>
          <t>Dsa Fundamentals</t>
        </is>
      </c>
      <c r="H165" t="inlineStr">
        <is>
          <t>Recursion Basics</t>
        </is>
      </c>
      <c r="I165" t="inlineStr">
        <is>
          <t>Learnyard</t>
        </is>
      </c>
      <c r="J165" t="inlineStr">
        <is>
          <t>Lesson</t>
        </is>
      </c>
    </row>
    <row r="166">
      <c r="A166" t="n">
        <v>165</v>
      </c>
      <c r="B166" t="inlineStr">
        <is>
          <t>Fast Exponentiation</t>
        </is>
      </c>
      <c r="C166">
        <f>HYPERLINK("https://read.learnyard.com/dsa/fast-exponentiation/","Solve Problem")</f>
        <v/>
      </c>
      <c r="D166" t="inlineStr">
        <is>
          <t>-</t>
        </is>
      </c>
      <c r="E166" t="inlineStr">
        <is>
          <t>Theory</t>
        </is>
      </c>
      <c r="F166" t="n">
        <v>3</v>
      </c>
      <c r="G166" t="inlineStr">
        <is>
          <t>Dsa Fundamentals</t>
        </is>
      </c>
      <c r="H166" t="inlineStr">
        <is>
          <t>Recursion Basics</t>
        </is>
      </c>
      <c r="I166" t="inlineStr">
        <is>
          <t>Learnyard</t>
        </is>
      </c>
      <c r="J166" t="inlineStr">
        <is>
          <t>Lesson</t>
        </is>
      </c>
    </row>
    <row r="167">
      <c r="A167" t="n">
        <v>166</v>
      </c>
      <c r="B167" t="inlineStr">
        <is>
          <t>Power of Three</t>
        </is>
      </c>
      <c r="C167">
        <f>HYPERLINK("https://read.learnyard.com/dsa/power-of-three/","Solve Problem")</f>
        <v/>
      </c>
      <c r="D167" t="inlineStr">
        <is>
          <t>-</t>
        </is>
      </c>
      <c r="E167" t="inlineStr">
        <is>
          <t>Theory</t>
        </is>
      </c>
      <c r="F167" t="n">
        <v>3</v>
      </c>
      <c r="G167" t="inlineStr">
        <is>
          <t>Dsa Fundamentals</t>
        </is>
      </c>
      <c r="H167" t="inlineStr">
        <is>
          <t>Recursion Basics</t>
        </is>
      </c>
      <c r="I167" t="inlineStr">
        <is>
          <t>Learnyard</t>
        </is>
      </c>
      <c r="J167" t="inlineStr">
        <is>
          <t>Lesson</t>
        </is>
      </c>
    </row>
    <row r="168">
      <c r="A168" t="n">
        <v>167</v>
      </c>
      <c r="B168" t="inlineStr">
        <is>
          <t>Recursion: Time &amp; Space Complexity Analysis - 1</t>
        </is>
      </c>
      <c r="C168">
        <f>HYPERLINK("https://read.learnyard.com/dsa/recursion-time-and-space-complexity-analysis-1/","Solve Problem")</f>
        <v/>
      </c>
      <c r="D168" t="inlineStr">
        <is>
          <t>-</t>
        </is>
      </c>
      <c r="E168" t="inlineStr">
        <is>
          <t>Theory</t>
        </is>
      </c>
      <c r="F168" t="n">
        <v>3</v>
      </c>
      <c r="G168" t="inlineStr">
        <is>
          <t>Dsa Fundamentals</t>
        </is>
      </c>
      <c r="H168" t="inlineStr">
        <is>
          <t>Recursion Basics</t>
        </is>
      </c>
      <c r="I168" t="inlineStr">
        <is>
          <t>Learnyard</t>
        </is>
      </c>
      <c r="J168" t="inlineStr">
        <is>
          <t>Lesson</t>
        </is>
      </c>
    </row>
    <row r="169">
      <c r="A169" t="n">
        <v>168</v>
      </c>
      <c r="B169" t="inlineStr">
        <is>
          <t>Recursion: Time &amp; Space Complexity Analysis - 2</t>
        </is>
      </c>
      <c r="C169">
        <f>HYPERLINK("https://read.learnyard.com/dsa/recursion-time-and-space-complexity-analysis-2/","Solve Problem")</f>
        <v/>
      </c>
      <c r="D169" t="inlineStr">
        <is>
          <t>-</t>
        </is>
      </c>
      <c r="E169" t="inlineStr">
        <is>
          <t>Theory</t>
        </is>
      </c>
      <c r="F169" t="n">
        <v>3</v>
      </c>
      <c r="G169" t="inlineStr">
        <is>
          <t>Dsa Fundamentals</t>
        </is>
      </c>
      <c r="H169" t="inlineStr">
        <is>
          <t>Recursion Basics</t>
        </is>
      </c>
      <c r="I169" t="inlineStr">
        <is>
          <t>Learnyard</t>
        </is>
      </c>
      <c r="J169" t="inlineStr">
        <is>
          <t>Lesson</t>
        </is>
      </c>
    </row>
    <row r="170">
      <c r="A170" t="n">
        <v>169</v>
      </c>
      <c r="B170" t="inlineStr">
        <is>
          <t>Time Complexity Analysis using Recurrence Relations</t>
        </is>
      </c>
      <c r="C170">
        <f>HYPERLINK("https://read.learnyard.com/dsa/time-complexity-analysis-using-recurrence-relations/","Solve Problem")</f>
        <v/>
      </c>
      <c r="D170" t="inlineStr">
        <is>
          <t>-</t>
        </is>
      </c>
      <c r="E170" t="inlineStr">
        <is>
          <t>Theory</t>
        </is>
      </c>
      <c r="F170" t="n">
        <v>3</v>
      </c>
      <c r="G170" t="inlineStr">
        <is>
          <t>Dsa Fundamentals</t>
        </is>
      </c>
      <c r="H170" t="inlineStr">
        <is>
          <t>Recursion Basics</t>
        </is>
      </c>
      <c r="I170" t="inlineStr">
        <is>
          <t>Learnyard</t>
        </is>
      </c>
      <c r="J170" t="inlineStr">
        <is>
          <t>Lesson</t>
        </is>
      </c>
    </row>
    <row r="171">
      <c r="A171" t="n">
        <v>170</v>
      </c>
      <c r="B171" t="inlineStr">
        <is>
          <t>Calculate the Sum of Numbers from 1 to N using Recursion</t>
        </is>
      </c>
      <c r="C171">
        <f>HYPERLINK("https://learnyard.com/practice/dsa","Solve Problem")</f>
        <v/>
      </c>
      <c r="D171" t="inlineStr">
        <is>
          <t>-</t>
        </is>
      </c>
      <c r="E171" t="inlineStr">
        <is>
          <t>Easy</t>
        </is>
      </c>
      <c r="F171" t="n">
        <v>3</v>
      </c>
      <c r="G171" t="inlineStr">
        <is>
          <t>Dsa Fundamentals</t>
        </is>
      </c>
      <c r="H171" t="inlineStr">
        <is>
          <t>Recursion Basics</t>
        </is>
      </c>
      <c r="I171" t="inlineStr">
        <is>
          <t>Learnyard</t>
        </is>
      </c>
      <c r="J171" t="inlineStr">
        <is>
          <t>Lesson</t>
        </is>
      </c>
    </row>
    <row r="172">
      <c r="A172" t="n">
        <v>171</v>
      </c>
      <c r="B172" t="inlineStr">
        <is>
          <t>Print the Fibonacci Series up to N Terms using Recursion</t>
        </is>
      </c>
      <c r="C172">
        <f>HYPERLINK("https://learnyard.com/practice/dsa","Solve Problem")</f>
        <v/>
      </c>
      <c r="D172" t="inlineStr">
        <is>
          <t>-</t>
        </is>
      </c>
      <c r="E172" t="inlineStr">
        <is>
          <t>Easy</t>
        </is>
      </c>
      <c r="F172" t="n">
        <v>3</v>
      </c>
      <c r="G172" t="inlineStr">
        <is>
          <t>Dsa Fundamentals</t>
        </is>
      </c>
      <c r="H172" t="inlineStr">
        <is>
          <t>Recursion Basics</t>
        </is>
      </c>
      <c r="I172" t="inlineStr">
        <is>
          <t>Learnyard</t>
        </is>
      </c>
      <c r="J172" t="inlineStr">
        <is>
          <t>Lesson</t>
        </is>
      </c>
    </row>
    <row r="173">
      <c r="A173" t="n">
        <v>172</v>
      </c>
      <c r="B173" t="inlineStr">
        <is>
          <t>Print the Elements of an Array using Recursion</t>
        </is>
      </c>
      <c r="C173">
        <f>HYPERLINK("https://learnyard.com/practice/dsa","Solve Problem")</f>
        <v/>
      </c>
      <c r="D173" t="inlineStr">
        <is>
          <t>-</t>
        </is>
      </c>
      <c r="E173" t="inlineStr">
        <is>
          <t>Easy</t>
        </is>
      </c>
      <c r="F173" t="n">
        <v>3</v>
      </c>
      <c r="G173" t="inlineStr">
        <is>
          <t>Dsa Fundamentals</t>
        </is>
      </c>
      <c r="H173" t="inlineStr">
        <is>
          <t>Recursion Basics</t>
        </is>
      </c>
      <c r="I173" t="inlineStr">
        <is>
          <t>Learnyard</t>
        </is>
      </c>
      <c r="J173" t="inlineStr">
        <is>
          <t>Lesson</t>
        </is>
      </c>
    </row>
    <row r="174">
      <c r="A174" t="n">
        <v>173</v>
      </c>
      <c r="B174" t="inlineStr">
        <is>
          <t>Count the Digits of a Given Number using Recursion</t>
        </is>
      </c>
      <c r="C174">
        <f>HYPERLINK("https://learnyard.com/practice/dsa","Solve Problem")</f>
        <v/>
      </c>
      <c r="D174" t="inlineStr">
        <is>
          <t>-</t>
        </is>
      </c>
      <c r="E174" t="inlineStr">
        <is>
          <t>Easy</t>
        </is>
      </c>
      <c r="F174" t="n">
        <v>3</v>
      </c>
      <c r="G174" t="inlineStr">
        <is>
          <t>Dsa Fundamentals</t>
        </is>
      </c>
      <c r="H174" t="inlineStr">
        <is>
          <t>Recursion Basics</t>
        </is>
      </c>
      <c r="I174" t="inlineStr">
        <is>
          <t>Learnyard</t>
        </is>
      </c>
      <c r="J174" t="inlineStr">
        <is>
          <t>Lesson</t>
        </is>
      </c>
    </row>
    <row r="175">
      <c r="A175" t="n">
        <v>174</v>
      </c>
      <c r="B175" t="inlineStr">
        <is>
          <t>Find the Sum of Digits of a Number using Recursion</t>
        </is>
      </c>
      <c r="C175">
        <f>HYPERLINK("https://learnyard.com/practice/dsa","Solve Problem")</f>
        <v/>
      </c>
      <c r="D175" t="inlineStr">
        <is>
          <t>-</t>
        </is>
      </c>
      <c r="E175" t="inlineStr">
        <is>
          <t>Easy</t>
        </is>
      </c>
      <c r="F175" t="n">
        <v>3</v>
      </c>
      <c r="G175" t="inlineStr">
        <is>
          <t>Dsa Fundamentals</t>
        </is>
      </c>
      <c r="H175" t="inlineStr">
        <is>
          <t>Recursion Basics</t>
        </is>
      </c>
      <c r="I175" t="inlineStr">
        <is>
          <t>Learnyard</t>
        </is>
      </c>
      <c r="J175" t="inlineStr">
        <is>
          <t>Lesson</t>
        </is>
      </c>
    </row>
    <row r="176">
      <c r="A176" t="n">
        <v>175</v>
      </c>
      <c r="B176" t="inlineStr">
        <is>
          <t>Find the GCD of Two Numbers using Recursion</t>
        </is>
      </c>
      <c r="C176">
        <f>HYPERLINK("https://learnyard.com/practice/dsa","Solve Problem")</f>
        <v/>
      </c>
      <c r="D176" t="inlineStr">
        <is>
          <t>-</t>
        </is>
      </c>
      <c r="E176" t="inlineStr">
        <is>
          <t>Easy</t>
        </is>
      </c>
      <c r="F176" t="n">
        <v>3</v>
      </c>
      <c r="G176" t="inlineStr">
        <is>
          <t>Dsa Fundamentals</t>
        </is>
      </c>
      <c r="H176" t="inlineStr">
        <is>
          <t>Recursion Basics</t>
        </is>
      </c>
      <c r="I176" t="inlineStr">
        <is>
          <t>Learnyard</t>
        </is>
      </c>
      <c r="J176" t="inlineStr">
        <is>
          <t>Lesson</t>
        </is>
      </c>
    </row>
    <row r="177">
      <c r="A177" t="n">
        <v>176</v>
      </c>
      <c r="B177" t="inlineStr">
        <is>
          <t>Find the Largest Element of an Array using Recursion</t>
        </is>
      </c>
      <c r="C177">
        <f>HYPERLINK("https://learnyard.com/practice/dsa","Solve Problem")</f>
        <v/>
      </c>
      <c r="D177" t="inlineStr">
        <is>
          <t>-</t>
        </is>
      </c>
      <c r="E177" t="inlineStr">
        <is>
          <t>Easy</t>
        </is>
      </c>
      <c r="F177" t="n">
        <v>3</v>
      </c>
      <c r="G177" t="inlineStr">
        <is>
          <t>Dsa Fundamentals</t>
        </is>
      </c>
      <c r="H177" t="inlineStr">
        <is>
          <t>Recursion Basics</t>
        </is>
      </c>
      <c r="I177" t="inlineStr">
        <is>
          <t>Learnyard</t>
        </is>
      </c>
      <c r="J177" t="inlineStr">
        <is>
          <t>Lesson</t>
        </is>
      </c>
    </row>
    <row r="178">
      <c r="A178" t="n">
        <v>177</v>
      </c>
      <c r="B178" t="inlineStr">
        <is>
          <t>Reverse a String using Recursion</t>
        </is>
      </c>
      <c r="C178">
        <f>HYPERLINK("https://learnyard.com/practice/dsa","Solve Problem")</f>
        <v/>
      </c>
      <c r="D178" t="inlineStr">
        <is>
          <t>-</t>
        </is>
      </c>
      <c r="E178" t="inlineStr">
        <is>
          <t>Easy</t>
        </is>
      </c>
      <c r="F178" t="n">
        <v>3</v>
      </c>
      <c r="G178" t="inlineStr">
        <is>
          <t>Dsa Fundamentals</t>
        </is>
      </c>
      <c r="H178" t="inlineStr">
        <is>
          <t>Recursion Basics</t>
        </is>
      </c>
      <c r="I178" t="inlineStr">
        <is>
          <t>Learnyard</t>
        </is>
      </c>
      <c r="J178" t="inlineStr">
        <is>
          <t>Lesson</t>
        </is>
      </c>
    </row>
    <row r="179">
      <c r="A179" t="n">
        <v>178</v>
      </c>
      <c r="B179" t="inlineStr">
        <is>
          <t>Find the Factorial of a Number using Recursion</t>
        </is>
      </c>
      <c r="C179">
        <f>HYPERLINK("https://learnyard.com/practice/dsa","Solve Problem")</f>
        <v/>
      </c>
      <c r="D179" t="inlineStr">
        <is>
          <t>-</t>
        </is>
      </c>
      <c r="E179" t="inlineStr">
        <is>
          <t>Easy</t>
        </is>
      </c>
      <c r="F179" t="n">
        <v>3</v>
      </c>
      <c r="G179" t="inlineStr">
        <is>
          <t>Dsa Fundamentals</t>
        </is>
      </c>
      <c r="H179" t="inlineStr">
        <is>
          <t>Recursion Basics</t>
        </is>
      </c>
      <c r="I179" t="inlineStr">
        <is>
          <t>Learnyard</t>
        </is>
      </c>
      <c r="J179" t="inlineStr">
        <is>
          <t>Lesson</t>
        </is>
      </c>
    </row>
    <row r="180">
      <c r="A180" t="n">
        <v>179</v>
      </c>
      <c r="B180" t="inlineStr">
        <is>
          <t>Convert a Decimal Number to Binary using Recursion</t>
        </is>
      </c>
      <c r="C180">
        <f>HYPERLINK("https://learnyard.com/practice/dsa","Solve Problem")</f>
        <v/>
      </c>
      <c r="D180" t="inlineStr">
        <is>
          <t>-</t>
        </is>
      </c>
      <c r="E180" t="inlineStr">
        <is>
          <t>Easy</t>
        </is>
      </c>
      <c r="F180" t="n">
        <v>3</v>
      </c>
      <c r="G180" t="inlineStr">
        <is>
          <t>Dsa Fundamentals</t>
        </is>
      </c>
      <c r="H180" t="inlineStr">
        <is>
          <t>Recursion Basics</t>
        </is>
      </c>
      <c r="I180" t="inlineStr">
        <is>
          <t>Learnyard</t>
        </is>
      </c>
      <c r="J180" t="inlineStr">
        <is>
          <t>Lesson</t>
        </is>
      </c>
    </row>
    <row r="181">
      <c r="A181" t="n">
        <v>180</v>
      </c>
      <c r="B181" t="inlineStr">
        <is>
          <t>Check if a Number is a Prime Number using Recursion</t>
        </is>
      </c>
      <c r="C181">
        <f>HYPERLINK("https://learnyard.com/practice/dsa","Solve Problem")</f>
        <v/>
      </c>
      <c r="D181" t="inlineStr">
        <is>
          <t>-</t>
        </is>
      </c>
      <c r="E181" t="inlineStr">
        <is>
          <t>Easy</t>
        </is>
      </c>
      <c r="F181" t="n">
        <v>3</v>
      </c>
      <c r="G181" t="inlineStr">
        <is>
          <t>Dsa Fundamentals</t>
        </is>
      </c>
      <c r="H181" t="inlineStr">
        <is>
          <t>Recursion Basics</t>
        </is>
      </c>
      <c r="I181" t="inlineStr">
        <is>
          <t>Learnyard</t>
        </is>
      </c>
      <c r="J181" t="inlineStr">
        <is>
          <t>Lesson</t>
        </is>
      </c>
    </row>
    <row r="182">
      <c r="A182" t="n">
        <v>181</v>
      </c>
      <c r="B182" t="inlineStr">
        <is>
          <t>Print Even or Odd Numbers in a Given Range using Recursion</t>
        </is>
      </c>
      <c r="C182">
        <f>HYPERLINK("https://learnyard.com/practice/dsa","Solve Problem")</f>
        <v/>
      </c>
      <c r="D182" t="inlineStr">
        <is>
          <t>-</t>
        </is>
      </c>
      <c r="E182" t="inlineStr">
        <is>
          <t>Easy</t>
        </is>
      </c>
      <c r="F182" t="n">
        <v>3</v>
      </c>
      <c r="G182" t="inlineStr">
        <is>
          <t>Dsa Fundamentals</t>
        </is>
      </c>
      <c r="H182" t="inlineStr">
        <is>
          <t>Recursion Basics</t>
        </is>
      </c>
      <c r="I182" t="inlineStr">
        <is>
          <t>Learnyard</t>
        </is>
      </c>
      <c r="J182" t="inlineStr">
        <is>
          <t>Lesson</t>
        </is>
      </c>
    </row>
    <row r="183">
      <c r="A183" t="n">
        <v>182</v>
      </c>
      <c r="B183" t="inlineStr">
        <is>
          <t>Multiply Two Matrices using Recursion</t>
        </is>
      </c>
      <c r="C183">
        <f>HYPERLINK("https://learnyard.com/practice/dsa","Solve Problem")</f>
        <v/>
      </c>
      <c r="D183" t="inlineStr">
        <is>
          <t>-</t>
        </is>
      </c>
      <c r="E183" t="inlineStr">
        <is>
          <t>Easy</t>
        </is>
      </c>
      <c r="F183" t="n">
        <v>3</v>
      </c>
      <c r="G183" t="inlineStr">
        <is>
          <t>Dsa Fundamentals</t>
        </is>
      </c>
      <c r="H183" t="inlineStr">
        <is>
          <t>Recursion Basics</t>
        </is>
      </c>
      <c r="I183" t="inlineStr">
        <is>
          <t>Learnyard</t>
        </is>
      </c>
      <c r="J183" t="inlineStr">
        <is>
          <t>Lesson</t>
        </is>
      </c>
    </row>
    <row r="184">
      <c r="A184" t="n">
        <v>183</v>
      </c>
      <c r="B184" t="inlineStr">
        <is>
          <t>Check if a Given String is a Palindrome using Recursion</t>
        </is>
      </c>
      <c r="C184">
        <f>HYPERLINK("https://learnyard.com/practice/dsa","Solve Problem")</f>
        <v/>
      </c>
      <c r="D184" t="inlineStr">
        <is>
          <t>-</t>
        </is>
      </c>
      <c r="E184" t="inlineStr">
        <is>
          <t>Easy</t>
        </is>
      </c>
      <c r="F184" t="n">
        <v>3</v>
      </c>
      <c r="G184" t="inlineStr">
        <is>
          <t>Dsa Fundamentals</t>
        </is>
      </c>
      <c r="H184" t="inlineStr">
        <is>
          <t>Recursion Basics</t>
        </is>
      </c>
      <c r="I184" t="inlineStr">
        <is>
          <t>Learnyard</t>
        </is>
      </c>
      <c r="J184" t="inlineStr">
        <is>
          <t>Lesson</t>
        </is>
      </c>
    </row>
    <row r="185">
      <c r="A185" t="n">
        <v>184</v>
      </c>
      <c r="B185" t="inlineStr">
        <is>
          <t>Copy One String to Another using Recursion</t>
        </is>
      </c>
      <c r="C185">
        <f>HYPERLINK("https://learnyard.com/practice/dsa","Solve Problem")</f>
        <v/>
      </c>
      <c r="D185" t="inlineStr">
        <is>
          <t>-</t>
        </is>
      </c>
      <c r="E185" t="inlineStr">
        <is>
          <t>Easy</t>
        </is>
      </c>
      <c r="F185" t="n">
        <v>3</v>
      </c>
      <c r="G185" t="inlineStr">
        <is>
          <t>Dsa Fundamentals</t>
        </is>
      </c>
      <c r="H185" t="inlineStr">
        <is>
          <t>Recursion Basics</t>
        </is>
      </c>
      <c r="I185" t="inlineStr">
        <is>
          <t>Learnyard</t>
        </is>
      </c>
      <c r="J185" t="inlineStr">
        <is>
          <t>Lesson</t>
        </is>
      </c>
    </row>
    <row r="186">
      <c r="A186" t="n">
        <v>185</v>
      </c>
      <c r="B186" t="inlineStr">
        <is>
          <t>Check if an Array is Sorted using Recursion</t>
        </is>
      </c>
      <c r="C186">
        <f>HYPERLINK("https://learnyard.com/practice/dsa","Solve Problem")</f>
        <v/>
      </c>
      <c r="D186" t="inlineStr">
        <is>
          <t>-</t>
        </is>
      </c>
      <c r="E186" t="inlineStr">
        <is>
          <t>Easy</t>
        </is>
      </c>
      <c r="F186" t="n">
        <v>3</v>
      </c>
      <c r="G186" t="inlineStr">
        <is>
          <t>Dsa Fundamentals</t>
        </is>
      </c>
      <c r="H186" t="inlineStr">
        <is>
          <t>Recursion Basics</t>
        </is>
      </c>
      <c r="I186" t="inlineStr">
        <is>
          <t>Learnyard</t>
        </is>
      </c>
      <c r="J186" t="inlineStr">
        <is>
          <t>Lesson</t>
        </is>
      </c>
    </row>
    <row r="187">
      <c r="A187" t="n">
        <v>186</v>
      </c>
      <c r="B187" t="inlineStr">
        <is>
          <t>Bubble Sort</t>
        </is>
      </c>
      <c r="C187">
        <f>HYPERLINK("https://read.learnyard.com/dsa/bubble-sort/","Solve Problem")</f>
        <v/>
      </c>
      <c r="D187">
        <f>HYPERLINK("https://read.learnyard.com/dsa/bubble-sort/","Read Article")</f>
        <v/>
      </c>
      <c r="E187" t="inlineStr">
        <is>
          <t>Theory</t>
        </is>
      </c>
      <c r="F187" t="n">
        <v>4</v>
      </c>
      <c r="G187" t="inlineStr">
        <is>
          <t>Sorting</t>
        </is>
      </c>
      <c r="H187" t="inlineStr">
        <is>
          <t>Bubble Sort</t>
        </is>
      </c>
      <c r="I187" t="inlineStr">
        <is>
          <t>Leetcode</t>
        </is>
      </c>
      <c r="J187" t="inlineStr">
        <is>
          <t>Lesson</t>
        </is>
      </c>
    </row>
    <row r="188">
      <c r="A188" t="n">
        <v>187</v>
      </c>
      <c r="B188" t="inlineStr">
        <is>
          <t>Insertion Sort Algorithm</t>
        </is>
      </c>
      <c r="C188">
        <f>HYPERLINK("https://learnyard.com/practice/dsa","Solve Problem")</f>
        <v/>
      </c>
      <c r="D188" t="inlineStr">
        <is>
          <t>-</t>
        </is>
      </c>
      <c r="E188" t="inlineStr">
        <is>
          <t>Theory</t>
        </is>
      </c>
      <c r="F188" t="n">
        <v>4</v>
      </c>
      <c r="G188" t="inlineStr">
        <is>
          <t>Sorting</t>
        </is>
      </c>
      <c r="H188" t="inlineStr">
        <is>
          <t>Insertion Sort</t>
        </is>
      </c>
      <c r="I188" t="inlineStr">
        <is>
          <t>Leetcode</t>
        </is>
      </c>
      <c r="J188" t="inlineStr">
        <is>
          <t>Lesson</t>
        </is>
      </c>
    </row>
    <row r="189">
      <c r="A189" t="n">
        <v>216</v>
      </c>
      <c r="B189" t="inlineStr">
        <is>
          <t>Insertion Sort List</t>
        </is>
      </c>
      <c r="C189">
        <f>HYPERLINK("https://leetcode.com/problems/insertion-sort-list/description/","insertion-sort-list")</f>
        <v/>
      </c>
      <c r="D189" t="inlineStr">
        <is>
          <t>-</t>
        </is>
      </c>
      <c r="E189" t="inlineStr">
        <is>
          <t>Medium</t>
        </is>
      </c>
      <c r="F189" t="n">
        <v>4</v>
      </c>
      <c r="G189" t="inlineStr">
        <is>
          <t>Sorting</t>
        </is>
      </c>
      <c r="H189" t="inlineStr">
        <is>
          <t>Insertion Sort</t>
        </is>
      </c>
      <c r="I189" t="inlineStr">
        <is>
          <t>Leetcode</t>
        </is>
      </c>
      <c r="J189" t="inlineStr">
        <is>
          <t>Problem</t>
        </is>
      </c>
    </row>
    <row r="190">
      <c r="A190" t="n">
        <v>189</v>
      </c>
      <c r="B190" t="inlineStr">
        <is>
          <t>Selection Sort Algorithm</t>
        </is>
      </c>
      <c r="C190">
        <f>HYPERLINK("https://learnyard.com/practice/dsa","Solve Problem")</f>
        <v/>
      </c>
      <c r="D190" t="inlineStr">
        <is>
          <t>-</t>
        </is>
      </c>
      <c r="E190" t="inlineStr">
        <is>
          <t>Theory</t>
        </is>
      </c>
      <c r="F190" t="n">
        <v>4</v>
      </c>
      <c r="G190" t="inlineStr">
        <is>
          <t>Sorting</t>
        </is>
      </c>
      <c r="H190" t="inlineStr">
        <is>
          <t>Selection Sort</t>
        </is>
      </c>
      <c r="I190" t="inlineStr">
        <is>
          <t>Leetcode</t>
        </is>
      </c>
      <c r="J190" t="inlineStr">
        <is>
          <t>Lesson</t>
        </is>
      </c>
    </row>
    <row r="191">
      <c r="A191" t="n">
        <v>190</v>
      </c>
      <c r="B191" t="inlineStr">
        <is>
          <t>Merge Sort</t>
        </is>
      </c>
      <c r="C191">
        <f>HYPERLINK("https://learnyard.com/practice/dsa","Solve Problem")</f>
        <v/>
      </c>
      <c r="D191" t="inlineStr">
        <is>
          <t>-</t>
        </is>
      </c>
      <c r="E191" t="inlineStr">
        <is>
          <t>Theory</t>
        </is>
      </c>
      <c r="F191" t="n">
        <v>4</v>
      </c>
      <c r="G191" t="inlineStr">
        <is>
          <t>Sorting</t>
        </is>
      </c>
      <c r="H191" t="inlineStr">
        <is>
          <t>Merge Sort</t>
        </is>
      </c>
      <c r="I191" t="inlineStr">
        <is>
          <t>Leetcode</t>
        </is>
      </c>
      <c r="J191" t="inlineStr">
        <is>
          <t>Lesson</t>
        </is>
      </c>
    </row>
    <row r="192">
      <c r="A192" t="n">
        <v>1485</v>
      </c>
      <c r="B192" t="inlineStr">
        <is>
          <t>Count Inversions</t>
        </is>
      </c>
      <c r="C192">
        <f>HYPERLINK("https://www.geeksforgeeks.org/problems/inversion-of-array-1587115620/1","Solve Problem")</f>
        <v/>
      </c>
      <c r="D192" t="inlineStr">
        <is>
          <t>-</t>
        </is>
      </c>
      <c r="E192" t="inlineStr">
        <is>
          <t>Medium</t>
        </is>
      </c>
      <c r="F192" t="n">
        <v>4</v>
      </c>
      <c r="G192" t="inlineStr">
        <is>
          <t>Sorting</t>
        </is>
      </c>
      <c r="H192" t="inlineStr">
        <is>
          <t>Merge Sort</t>
        </is>
      </c>
      <c r="I192" t="inlineStr">
        <is>
          <t>Geeksforgeeks</t>
        </is>
      </c>
      <c r="J192" t="inlineStr">
        <is>
          <t>Problem</t>
        </is>
      </c>
    </row>
    <row r="193">
      <c r="A193" t="n">
        <v>112</v>
      </c>
      <c r="B193" t="inlineStr">
        <is>
          <t>Count of Smaller Numbers After Self</t>
        </is>
      </c>
      <c r="C193">
        <f>HYPERLINK("https://leetcode.com/problems/count-of-smaller-numbers-after-self/description/","count-of-smaller-numbers-after-self")</f>
        <v/>
      </c>
      <c r="D193" t="inlineStr">
        <is>
          <t>-</t>
        </is>
      </c>
      <c r="E193" t="inlineStr">
        <is>
          <t>Hard</t>
        </is>
      </c>
      <c r="F193" t="n">
        <v>4</v>
      </c>
      <c r="G193" t="inlineStr">
        <is>
          <t>Sorting</t>
        </is>
      </c>
      <c r="H193" t="inlineStr">
        <is>
          <t>Merge Sort</t>
        </is>
      </c>
      <c r="I193" t="inlineStr">
        <is>
          <t>Leetcode</t>
        </is>
      </c>
      <c r="J193" t="inlineStr">
        <is>
          <t>Problem</t>
        </is>
      </c>
    </row>
    <row r="194">
      <c r="A194" t="n">
        <v>111</v>
      </c>
      <c r="B194" t="inlineStr">
        <is>
          <t>Count of Range Sum</t>
        </is>
      </c>
      <c r="C194">
        <f>HYPERLINK("https://leetcode.com/problems/count-of-range-sum","count-of-range-sum")</f>
        <v/>
      </c>
      <c r="D194" t="inlineStr">
        <is>
          <t>-</t>
        </is>
      </c>
      <c r="E194" t="inlineStr">
        <is>
          <t>Hard</t>
        </is>
      </c>
      <c r="F194" t="n">
        <v>4</v>
      </c>
      <c r="G194" t="inlineStr">
        <is>
          <t>Sorting</t>
        </is>
      </c>
      <c r="H194" t="inlineStr">
        <is>
          <t>Merge Sort</t>
        </is>
      </c>
      <c r="I194" t="inlineStr">
        <is>
          <t>Leetcode</t>
        </is>
      </c>
      <c r="J194" t="inlineStr">
        <is>
          <t>Problem</t>
        </is>
      </c>
    </row>
    <row r="195">
      <c r="A195" t="n">
        <v>654</v>
      </c>
      <c r="B195" t="inlineStr">
        <is>
          <t>Reverse Pairs</t>
        </is>
      </c>
      <c r="C195">
        <f>HYPERLINK("https://leetcode.com/problems/reverse-pairs","reverse-pairs")</f>
        <v/>
      </c>
      <c r="D195" t="inlineStr">
        <is>
          <t>-</t>
        </is>
      </c>
      <c r="E195" t="inlineStr">
        <is>
          <t>Hard</t>
        </is>
      </c>
      <c r="F195" t="n">
        <v>4</v>
      </c>
      <c r="G195" t="inlineStr">
        <is>
          <t>Sorting</t>
        </is>
      </c>
      <c r="H195" t="inlineStr">
        <is>
          <t>Merge Sort</t>
        </is>
      </c>
      <c r="I195" t="inlineStr">
        <is>
          <t>Leetcode</t>
        </is>
      </c>
      <c r="J195" t="inlineStr">
        <is>
          <t>Problem</t>
        </is>
      </c>
    </row>
    <row r="196">
      <c r="A196" t="n">
        <v>1039</v>
      </c>
      <c r="B196" t="inlineStr">
        <is>
          <t>Create Sorted Array through Instructions</t>
        </is>
      </c>
      <c r="C196">
        <f>HYPERLINK("https://leetcode.com/problems/create-sorted-array-through-instructions/description/","create-sorted-array-through-instructions")</f>
        <v/>
      </c>
      <c r="D196" t="inlineStr">
        <is>
          <t>-</t>
        </is>
      </c>
      <c r="E196" t="inlineStr">
        <is>
          <t>Hard</t>
        </is>
      </c>
      <c r="F196" t="n">
        <v>4</v>
      </c>
      <c r="G196" t="inlineStr">
        <is>
          <t>Sorting</t>
        </is>
      </c>
      <c r="H196" t="inlineStr">
        <is>
          <t>Merge Sort</t>
        </is>
      </c>
      <c r="I196" t="inlineStr">
        <is>
          <t>Leetcode</t>
        </is>
      </c>
      <c r="J196" t="inlineStr">
        <is>
          <t>Problem</t>
        </is>
      </c>
    </row>
    <row r="197">
      <c r="A197" t="n">
        <v>435</v>
      </c>
      <c r="B197" t="inlineStr">
        <is>
          <t>Count Good Triplets in an Array</t>
        </is>
      </c>
      <c r="C197">
        <f>HYPERLINK("https://leetcode.com/problems/count-good-triplets-in-an-array/description/","count-good-triplets-in-an-array")</f>
        <v/>
      </c>
      <c r="D197" t="inlineStr">
        <is>
          <t>-</t>
        </is>
      </c>
      <c r="E197" t="inlineStr">
        <is>
          <t>Hard</t>
        </is>
      </c>
      <c r="F197" t="n">
        <v>4</v>
      </c>
      <c r="G197" t="inlineStr">
        <is>
          <t>Sorting</t>
        </is>
      </c>
      <c r="H197" t="inlineStr">
        <is>
          <t>Merge Sort</t>
        </is>
      </c>
      <c r="I197" t="inlineStr">
        <is>
          <t>Leetcode</t>
        </is>
      </c>
      <c r="J197" t="inlineStr">
        <is>
          <t>Problem</t>
        </is>
      </c>
    </row>
    <row r="198">
      <c r="A198" t="n">
        <v>562</v>
      </c>
      <c r="B198" t="inlineStr">
        <is>
          <t>Number of Pairs Satisfying Inequality</t>
        </is>
      </c>
      <c r="C198">
        <f>HYPERLINK("https://leetcode.com/problems/number-of-pairs-satisfying-inequality/description/","number-of-pairs-satisfying-inequality")</f>
        <v/>
      </c>
      <c r="D198" t="inlineStr">
        <is>
          <t>-</t>
        </is>
      </c>
      <c r="E198" t="inlineStr">
        <is>
          <t>Hard</t>
        </is>
      </c>
      <c r="F198" t="n">
        <v>4</v>
      </c>
      <c r="G198" t="inlineStr">
        <is>
          <t>Sorting</t>
        </is>
      </c>
      <c r="H198" t="inlineStr">
        <is>
          <t>Merge Sort</t>
        </is>
      </c>
      <c r="I198" t="inlineStr">
        <is>
          <t>Leetcode</t>
        </is>
      </c>
      <c r="J198" t="inlineStr">
        <is>
          <t>Problem</t>
        </is>
      </c>
    </row>
    <row r="199">
      <c r="A199" t="n">
        <v>198</v>
      </c>
      <c r="B199" t="inlineStr">
        <is>
          <t>Quick Sort</t>
        </is>
      </c>
      <c r="C199">
        <f>HYPERLINK("https://learnyard.com/practice/dsa","Solve Problem")</f>
        <v/>
      </c>
      <c r="D199" t="inlineStr">
        <is>
          <t>-</t>
        </is>
      </c>
      <c r="E199" t="inlineStr">
        <is>
          <t>Theory</t>
        </is>
      </c>
      <c r="F199" t="n">
        <v>4</v>
      </c>
      <c r="G199" t="inlineStr">
        <is>
          <t>Sorting</t>
        </is>
      </c>
      <c r="H199" t="inlineStr">
        <is>
          <t>Quick Sort</t>
        </is>
      </c>
      <c r="I199" t="inlineStr">
        <is>
          <t>Leetcode</t>
        </is>
      </c>
      <c r="J199" t="inlineStr">
        <is>
          <t>Lesson</t>
        </is>
      </c>
    </row>
    <row r="200">
      <c r="A200" t="n">
        <v>697</v>
      </c>
      <c r="B200" t="inlineStr">
        <is>
          <t>Sort an Array</t>
        </is>
      </c>
      <c r="C200">
        <f>HYPERLINK("https://leetcode.com/problems/sort-an-array/description/","sort-an-array")</f>
        <v/>
      </c>
      <c r="D200" t="inlineStr">
        <is>
          <t>-</t>
        </is>
      </c>
      <c r="E200" t="inlineStr">
        <is>
          <t>Medium</t>
        </is>
      </c>
      <c r="F200" t="n">
        <v>4</v>
      </c>
      <c r="G200" t="inlineStr">
        <is>
          <t>Sorting</t>
        </is>
      </c>
      <c r="H200" t="inlineStr">
        <is>
          <t>Quick Sort</t>
        </is>
      </c>
      <c r="I200" t="inlineStr">
        <is>
          <t>Leetcode</t>
        </is>
      </c>
      <c r="J200" t="inlineStr">
        <is>
          <t>Problem</t>
        </is>
      </c>
    </row>
    <row r="201">
      <c r="A201" t="n">
        <v>200</v>
      </c>
      <c r="B201" t="inlineStr">
        <is>
          <t>Counting Sort</t>
        </is>
      </c>
      <c r="C201">
        <f>HYPERLINK("https://learnyard.com/practice/dsa","Solve Problem")</f>
        <v/>
      </c>
      <c r="D201" t="inlineStr">
        <is>
          <t>-</t>
        </is>
      </c>
      <c r="E201" t="inlineStr">
        <is>
          <t>Theory</t>
        </is>
      </c>
      <c r="F201" t="n">
        <v>4</v>
      </c>
      <c r="G201" t="inlineStr">
        <is>
          <t>Sorting</t>
        </is>
      </c>
      <c r="H201" t="inlineStr">
        <is>
          <t>Counting Sort</t>
        </is>
      </c>
      <c r="I201" t="inlineStr">
        <is>
          <t>Leetcode</t>
        </is>
      </c>
      <c r="J201" t="inlineStr">
        <is>
          <t>Lesson</t>
        </is>
      </c>
    </row>
    <row r="202">
      <c r="A202" t="n">
        <v>633</v>
      </c>
      <c r="B202" t="inlineStr">
        <is>
          <t>Relative Sort Array</t>
        </is>
      </c>
      <c r="C202">
        <f>HYPERLINK("https://leetcode.com/problems/relative-sort-array/description/","relative-sort-array")</f>
        <v/>
      </c>
      <c r="D202" t="inlineStr">
        <is>
          <t>-</t>
        </is>
      </c>
      <c r="E202" t="inlineStr">
        <is>
          <t>Medium</t>
        </is>
      </c>
      <c r="F202" t="n">
        <v>4</v>
      </c>
      <c r="G202" t="inlineStr">
        <is>
          <t>Sorting</t>
        </is>
      </c>
      <c r="H202" t="inlineStr">
        <is>
          <t>Counting Sort</t>
        </is>
      </c>
      <c r="I202" t="inlineStr">
        <is>
          <t>Leetcode</t>
        </is>
      </c>
      <c r="J202" t="inlineStr">
        <is>
          <t>Problem</t>
        </is>
      </c>
    </row>
    <row r="203">
      <c r="A203" t="n">
        <v>629</v>
      </c>
      <c r="B203" t="inlineStr">
        <is>
          <t>Reduce Array Size to The Half</t>
        </is>
      </c>
      <c r="C203">
        <f>HYPERLINK("https://leetcode.com/problems/reduce-array-size-to-the-half/description/","reduce-array-size-to-the-half")</f>
        <v/>
      </c>
      <c r="D203" t="inlineStr">
        <is>
          <t>-</t>
        </is>
      </c>
      <c r="E203" t="inlineStr">
        <is>
          <t>Medium</t>
        </is>
      </c>
      <c r="F203" t="n">
        <v>4</v>
      </c>
      <c r="G203" t="inlineStr">
        <is>
          <t>Sorting</t>
        </is>
      </c>
      <c r="H203" t="inlineStr">
        <is>
          <t>Counting Sort</t>
        </is>
      </c>
      <c r="I203" t="inlineStr">
        <is>
          <t>Leetcode</t>
        </is>
      </c>
      <c r="J203" t="inlineStr">
        <is>
          <t>Problem</t>
        </is>
      </c>
    </row>
    <row r="204">
      <c r="A204" t="n">
        <v>489</v>
      </c>
      <c r="B204" t="inlineStr">
        <is>
          <t>Maximum Ice Cream Bars</t>
        </is>
      </c>
      <c r="C204">
        <f>HYPERLINK("https://leetcode.com/problems/maximum-ice-cream-bars/","maximum-ice-cream-bars")</f>
        <v/>
      </c>
      <c r="D204" t="inlineStr">
        <is>
          <t>-</t>
        </is>
      </c>
      <c r="E204" t="inlineStr">
        <is>
          <t>Medium</t>
        </is>
      </c>
      <c r="F204" t="n">
        <v>4</v>
      </c>
      <c r="G204" t="inlineStr">
        <is>
          <t>Sorting</t>
        </is>
      </c>
      <c r="H204" t="inlineStr">
        <is>
          <t>Counting Sort</t>
        </is>
      </c>
      <c r="I204" t="inlineStr">
        <is>
          <t>Leetcode</t>
        </is>
      </c>
      <c r="J204" t="inlineStr">
        <is>
          <t>Problem</t>
        </is>
      </c>
    </row>
    <row r="205">
      <c r="A205" t="n">
        <v>204</v>
      </c>
      <c r="B205" t="inlineStr">
        <is>
          <t>Radix Sort</t>
        </is>
      </c>
      <c r="C205">
        <f>HYPERLINK("https://learnyard.com/practice/dsa","Solve Problem")</f>
        <v/>
      </c>
      <c r="D205" t="inlineStr">
        <is>
          <t>-</t>
        </is>
      </c>
      <c r="E205" t="inlineStr">
        <is>
          <t>Theory</t>
        </is>
      </c>
      <c r="F205" t="n">
        <v>4</v>
      </c>
      <c r="G205" t="inlineStr">
        <is>
          <t>Sorting</t>
        </is>
      </c>
      <c r="H205" t="inlineStr">
        <is>
          <t>Radix Sort</t>
        </is>
      </c>
      <c r="I205" t="inlineStr">
        <is>
          <t>Leetcode</t>
        </is>
      </c>
      <c r="J205" t="inlineStr">
        <is>
          <t>Lesson</t>
        </is>
      </c>
    </row>
    <row r="206">
      <c r="A206" t="n">
        <v>205</v>
      </c>
      <c r="B206" t="inlineStr">
        <is>
          <t>Bucket Sort</t>
        </is>
      </c>
      <c r="C206">
        <f>HYPERLINK("https://learnyard.com/practice/dsa","Solve Problem")</f>
        <v/>
      </c>
      <c r="D206" t="inlineStr">
        <is>
          <t>-</t>
        </is>
      </c>
      <c r="E206" t="inlineStr">
        <is>
          <t>Theory</t>
        </is>
      </c>
      <c r="F206" t="n">
        <v>4</v>
      </c>
      <c r="G206" t="inlineStr">
        <is>
          <t>Sorting</t>
        </is>
      </c>
      <c r="H206" t="inlineStr">
        <is>
          <t>Bucket Sort</t>
        </is>
      </c>
      <c r="I206" t="inlineStr">
        <is>
          <t>Leetcode</t>
        </is>
      </c>
      <c r="J206" t="inlineStr">
        <is>
          <t>Lesson</t>
        </is>
      </c>
    </row>
    <row r="207">
      <c r="A207" t="n">
        <v>748</v>
      </c>
      <c r="B207" t="inlineStr">
        <is>
          <t>Top K Frequent Elements</t>
        </is>
      </c>
      <c r="C207">
        <f>HYPERLINK("https://leetcode.com/problems/top-k-frequent-elements/description/","top-k-frequent-elements")</f>
        <v/>
      </c>
      <c r="D207" t="inlineStr">
        <is>
          <t>-</t>
        </is>
      </c>
      <c r="E207" t="inlineStr">
        <is>
          <t>Medium</t>
        </is>
      </c>
      <c r="F207" t="n">
        <v>4</v>
      </c>
      <c r="G207" t="inlineStr">
        <is>
          <t>Sorting</t>
        </is>
      </c>
      <c r="H207" t="inlineStr">
        <is>
          <t>Bucket Sort</t>
        </is>
      </c>
      <c r="I207" t="inlineStr">
        <is>
          <t>Leetcode</t>
        </is>
      </c>
      <c r="J207" t="inlineStr">
        <is>
          <t>Problem</t>
        </is>
      </c>
    </row>
    <row r="208">
      <c r="A208" t="n">
        <v>701</v>
      </c>
      <c r="B208" t="inlineStr">
        <is>
          <t>Sort Characters By Frequency</t>
        </is>
      </c>
      <c r="C208">
        <f>HYPERLINK("https://leetcode.com/problems/sort-characters-by-frequency/description/","sort-characters-by-frequency")</f>
        <v/>
      </c>
      <c r="D208" t="inlineStr">
        <is>
          <t>-</t>
        </is>
      </c>
      <c r="E208" t="inlineStr">
        <is>
          <t>Medium</t>
        </is>
      </c>
      <c r="F208" t="n">
        <v>4</v>
      </c>
      <c r="G208" t="inlineStr">
        <is>
          <t>Sorting</t>
        </is>
      </c>
      <c r="H208" t="inlineStr">
        <is>
          <t>Bucket Sort</t>
        </is>
      </c>
      <c r="I208" t="inlineStr">
        <is>
          <t>Leetcode</t>
        </is>
      </c>
      <c r="J208" t="inlineStr">
        <is>
          <t>Problem</t>
        </is>
      </c>
    </row>
    <row r="209">
      <c r="A209" t="n">
        <v>320</v>
      </c>
      <c r="B209" t="inlineStr">
        <is>
          <t>Maximum Gap</t>
        </is>
      </c>
      <c r="C209">
        <f>HYPERLINK("https://leetcode.com/problems/maximum-gap/","maximum-gap")</f>
        <v/>
      </c>
      <c r="D209" t="inlineStr">
        <is>
          <t>-</t>
        </is>
      </c>
      <c r="E209" t="inlineStr">
        <is>
          <t>Medium</t>
        </is>
      </c>
      <c r="F209" t="n">
        <v>4</v>
      </c>
      <c r="G209" t="inlineStr">
        <is>
          <t>Sorting</t>
        </is>
      </c>
      <c r="H209" t="inlineStr">
        <is>
          <t>Bucket Sort</t>
        </is>
      </c>
      <c r="I209" t="inlineStr">
        <is>
          <t>Leetcode</t>
        </is>
      </c>
      <c r="J209" t="inlineStr">
        <is>
          <t>Problem</t>
        </is>
      </c>
    </row>
    <row r="210">
      <c r="A210" t="n">
        <v>819</v>
      </c>
      <c r="B210" t="inlineStr">
        <is>
          <t>Top K Frequent Words</t>
        </is>
      </c>
      <c r="C210">
        <f>HYPERLINK("https://leetcode.com/problems/top-k-frequent-words/description/","top-k-frequent-words")</f>
        <v/>
      </c>
      <c r="D210" t="inlineStr">
        <is>
          <t>-</t>
        </is>
      </c>
      <c r="E210" t="inlineStr">
        <is>
          <t>Medium</t>
        </is>
      </c>
      <c r="F210" t="n">
        <v>4</v>
      </c>
      <c r="G210" t="inlineStr">
        <is>
          <t>Sorting</t>
        </is>
      </c>
      <c r="H210" t="inlineStr">
        <is>
          <t>Bucket Sort</t>
        </is>
      </c>
      <c r="I210" t="inlineStr">
        <is>
          <t>Leetcode</t>
        </is>
      </c>
      <c r="J210" t="inlineStr">
        <is>
          <t>Problem</t>
        </is>
      </c>
    </row>
    <row r="211">
      <c r="A211" t="n">
        <v>91</v>
      </c>
      <c r="B211" t="inlineStr">
        <is>
          <t>Contains Duplicate III</t>
        </is>
      </c>
      <c r="C211">
        <f>HYPERLINK("https://leetcode.com/problems/contains-duplicate-iii/description/","contains-duplicate-iii")</f>
        <v/>
      </c>
      <c r="D211" t="inlineStr">
        <is>
          <t>-</t>
        </is>
      </c>
      <c r="E211" t="inlineStr">
        <is>
          <t>Hard</t>
        </is>
      </c>
      <c r="F211" t="n">
        <v>4</v>
      </c>
      <c r="G211" t="inlineStr">
        <is>
          <t>Sorting</t>
        </is>
      </c>
      <c r="H211" t="inlineStr">
        <is>
          <t>Bucket Sort</t>
        </is>
      </c>
      <c r="I211" t="inlineStr">
        <is>
          <t>Leetcode</t>
        </is>
      </c>
      <c r="J211" t="inlineStr">
        <is>
          <t>Problem</t>
        </is>
      </c>
    </row>
    <row r="212">
      <c r="A212" t="n">
        <v>533</v>
      </c>
      <c r="B212" t="inlineStr">
        <is>
          <t>Missing Number</t>
        </is>
      </c>
      <c r="C212">
        <f>HYPERLINK("https://leetcode.com/problems/missing-number/description/","missing-number")</f>
        <v/>
      </c>
      <c r="D212" t="inlineStr">
        <is>
          <t>-</t>
        </is>
      </c>
      <c r="E212" t="inlineStr">
        <is>
          <t>Easy</t>
        </is>
      </c>
      <c r="F212" t="n">
        <v>4</v>
      </c>
      <c r="G212" t="inlineStr">
        <is>
          <t>Sorting</t>
        </is>
      </c>
      <c r="H212" t="inlineStr">
        <is>
          <t>Cyclic Sort</t>
        </is>
      </c>
      <c r="I212" t="inlineStr">
        <is>
          <t>Leetcode</t>
        </is>
      </c>
      <c r="J212" t="inlineStr">
        <is>
          <t>Problem</t>
        </is>
      </c>
    </row>
    <row r="213">
      <c r="A213" t="n">
        <v>184</v>
      </c>
      <c r="B213" t="inlineStr">
        <is>
          <t>Find the Duplicate Number</t>
        </is>
      </c>
      <c r="C213">
        <f>HYPERLINK("https://leetcode.com/problems/find-the-duplicate-number/","find-the-duplicate-number")</f>
        <v/>
      </c>
      <c r="D213" t="inlineStr">
        <is>
          <t>-</t>
        </is>
      </c>
      <c r="E213" t="inlineStr">
        <is>
          <t>Medium</t>
        </is>
      </c>
      <c r="F213" t="n">
        <v>4</v>
      </c>
      <c r="G213" t="inlineStr">
        <is>
          <t>Sorting</t>
        </is>
      </c>
      <c r="H213" t="inlineStr">
        <is>
          <t>Cyclic Sort</t>
        </is>
      </c>
      <c r="I213" t="inlineStr">
        <is>
          <t>Leetcode</t>
        </is>
      </c>
      <c r="J213" t="inlineStr">
        <is>
          <t>Problem</t>
        </is>
      </c>
    </row>
    <row r="214">
      <c r="A214" t="n">
        <v>200</v>
      </c>
      <c r="B214" t="inlineStr">
        <is>
          <t>First Missing Positive</t>
        </is>
      </c>
      <c r="C214">
        <f>HYPERLINK("https://leetcode.com/problems/first-missing-positive","first-missing-positive")</f>
        <v/>
      </c>
      <c r="D214" t="inlineStr">
        <is>
          <t>-</t>
        </is>
      </c>
      <c r="E214" t="inlineStr">
        <is>
          <t>Hard</t>
        </is>
      </c>
      <c r="F214" t="n">
        <v>4</v>
      </c>
      <c r="G214" t="inlineStr">
        <is>
          <t>Sorting</t>
        </is>
      </c>
      <c r="H214" t="inlineStr">
        <is>
          <t>Cyclic Sort</t>
        </is>
      </c>
      <c r="I214" t="inlineStr">
        <is>
          <t>Leetcode</t>
        </is>
      </c>
      <c r="J214" t="inlineStr">
        <is>
          <t>Problem</t>
        </is>
      </c>
    </row>
    <row r="215">
      <c r="A215" t="n">
        <v>214</v>
      </c>
      <c r="B215" t="inlineStr">
        <is>
          <t>Comparator Sort</t>
        </is>
      </c>
      <c r="C215">
        <f>HYPERLINK("https://learnyard.com/practice/dsa","Solve Problem")</f>
        <v/>
      </c>
      <c r="D215" t="inlineStr">
        <is>
          <t>-</t>
        </is>
      </c>
      <c r="E215" t="inlineStr">
        <is>
          <t>Theory</t>
        </is>
      </c>
      <c r="F215" t="n">
        <v>4</v>
      </c>
      <c r="G215" t="inlineStr">
        <is>
          <t>Sorting</t>
        </is>
      </c>
      <c r="H215" t="inlineStr">
        <is>
          <t>Custom Sort</t>
        </is>
      </c>
      <c r="I215" t="inlineStr">
        <is>
          <t>Leetcode</t>
        </is>
      </c>
      <c r="J215" t="inlineStr">
        <is>
          <t>Lesson</t>
        </is>
      </c>
    </row>
    <row r="216">
      <c r="A216" t="n">
        <v>129</v>
      </c>
      <c r="B216" t="inlineStr">
        <is>
          <t>Custom Sort String</t>
        </is>
      </c>
      <c r="C216">
        <f>HYPERLINK("https://leetcode.com/problems/custom-sort-string/","custom-sort-string")</f>
        <v/>
      </c>
      <c r="D216" t="inlineStr">
        <is>
          <t>-</t>
        </is>
      </c>
      <c r="E216" t="inlineStr">
        <is>
          <t>Medium</t>
        </is>
      </c>
      <c r="F216" t="n">
        <v>4</v>
      </c>
      <c r="G216" t="inlineStr">
        <is>
          <t>Sorting</t>
        </is>
      </c>
      <c r="H216" t="inlineStr">
        <is>
          <t>Custom Sort</t>
        </is>
      </c>
      <c r="I216" t="inlineStr">
        <is>
          <t>Leetcode</t>
        </is>
      </c>
      <c r="J216" t="inlineStr">
        <is>
          <t>Problem</t>
        </is>
      </c>
    </row>
    <row r="217">
      <c r="A217" t="n">
        <v>237</v>
      </c>
      <c r="B217" t="inlineStr">
        <is>
          <t>Largest Number</t>
        </is>
      </c>
      <c r="C217">
        <f>HYPERLINK("https://leetcode.com/problems/largest-number/","largest-number")</f>
        <v/>
      </c>
      <c r="D217" t="inlineStr">
        <is>
          <t>-</t>
        </is>
      </c>
      <c r="E217" t="inlineStr">
        <is>
          <t>Medium</t>
        </is>
      </c>
      <c r="F217" t="n">
        <v>4</v>
      </c>
      <c r="G217" t="inlineStr">
        <is>
          <t>Sorting</t>
        </is>
      </c>
      <c r="H217" t="inlineStr">
        <is>
          <t>Custom Sort</t>
        </is>
      </c>
      <c r="I217" t="inlineStr">
        <is>
          <t>Leetcode</t>
        </is>
      </c>
      <c r="J217" t="inlineStr">
        <is>
          <t>Problem</t>
        </is>
      </c>
    </row>
    <row r="218">
      <c r="A218" t="n">
        <v>703</v>
      </c>
      <c r="B218" t="inlineStr">
        <is>
          <t>Sort the Jumbled Numbers</t>
        </is>
      </c>
      <c r="C218">
        <f>HYPERLINK("https://leetcode.com/problems/sort-the-jumbled-numbers/","sort-the-jumbled-numbers")</f>
        <v/>
      </c>
      <c r="D218" t="inlineStr">
        <is>
          <t>-</t>
        </is>
      </c>
      <c r="E218" t="inlineStr">
        <is>
          <t>Medium</t>
        </is>
      </c>
      <c r="F218" t="n">
        <v>4</v>
      </c>
      <c r="G218" t="inlineStr">
        <is>
          <t>Sorting</t>
        </is>
      </c>
      <c r="H218" t="inlineStr">
        <is>
          <t>Custom Sort</t>
        </is>
      </c>
      <c r="I218" t="inlineStr">
        <is>
          <t>Leetcode</t>
        </is>
      </c>
      <c r="J218" t="inlineStr">
        <is>
          <t>Problem</t>
        </is>
      </c>
    </row>
    <row r="219">
      <c r="A219" t="n">
        <v>621</v>
      </c>
      <c r="B219" t="inlineStr">
        <is>
          <t>Rank Teams by Votes</t>
        </is>
      </c>
      <c r="C219">
        <f>HYPERLINK("https://leetcode.com/problems/rank-teams-by-votes/description/","rank-teams-by-votes")</f>
        <v/>
      </c>
      <c r="D219" t="inlineStr">
        <is>
          <t>-</t>
        </is>
      </c>
      <c r="E219" t="inlineStr">
        <is>
          <t>Medium</t>
        </is>
      </c>
      <c r="F219" t="n">
        <v>4</v>
      </c>
      <c r="G219" t="inlineStr">
        <is>
          <t>Sorting</t>
        </is>
      </c>
      <c r="H219" t="inlineStr">
        <is>
          <t>Custom Sort</t>
        </is>
      </c>
      <c r="I219" t="inlineStr">
        <is>
          <t>Leetcode</t>
        </is>
      </c>
      <c r="J219" t="inlineStr">
        <is>
          <t>Problem</t>
        </is>
      </c>
    </row>
    <row r="220">
      <c r="A220" t="n">
        <v>357</v>
      </c>
      <c r="B220" t="inlineStr">
        <is>
          <t>Merge Two 2D Arrays by Summing Values</t>
        </is>
      </c>
      <c r="C220">
        <f>HYPERLINK("https://leetcode.com/problems/merge-two-2d-arrays-by-summing-values","merge-two-2d-arrays-by-summing-values")</f>
        <v/>
      </c>
      <c r="D220" t="inlineStr">
        <is>
          <t>-</t>
        </is>
      </c>
      <c r="E220" t="inlineStr">
        <is>
          <t>Easy</t>
        </is>
      </c>
      <c r="F220" t="n">
        <v>5</v>
      </c>
      <c r="G220" t="inlineStr">
        <is>
          <t>2 Pointers</t>
        </is>
      </c>
      <c r="H220" t="inlineStr">
        <is>
          <t>Two Pointer on Arrays</t>
        </is>
      </c>
      <c r="I220" t="inlineStr">
        <is>
          <t>Leetcode</t>
        </is>
      </c>
      <c r="J220" t="inlineStr">
        <is>
          <t>Problem</t>
        </is>
      </c>
    </row>
    <row r="221">
      <c r="A221" t="n">
        <v>851</v>
      </c>
      <c r="B221" t="inlineStr">
        <is>
          <t>Merge Sorted Array</t>
        </is>
      </c>
      <c r="C221">
        <f>HYPERLINK("https://leetcode.com/problems/merge-sorted-array/description/","merge-sorted-array")</f>
        <v/>
      </c>
      <c r="D221" t="inlineStr">
        <is>
          <t>-</t>
        </is>
      </c>
      <c r="E221" t="inlineStr">
        <is>
          <t>Easy</t>
        </is>
      </c>
      <c r="F221" t="n">
        <v>5</v>
      </c>
      <c r="G221" t="inlineStr">
        <is>
          <t>2 Pointers</t>
        </is>
      </c>
      <c r="H221" t="inlineStr">
        <is>
          <t>Two Pointer on Arrays</t>
        </is>
      </c>
      <c r="I221" t="inlineStr">
        <is>
          <t>Leetcode</t>
        </is>
      </c>
      <c r="J221" t="inlineStr">
        <is>
          <t>Problem</t>
        </is>
      </c>
    </row>
    <row r="222">
      <c r="A222" t="n">
        <v>699</v>
      </c>
      <c r="B222" t="inlineStr">
        <is>
          <t>Sort Array by Parity</t>
        </is>
      </c>
      <c r="C222">
        <f>HYPERLINK("https://leetcode.com/problems/sort-array-by-parity/description/","sort-array-by-parity")</f>
        <v/>
      </c>
      <c r="D222" t="inlineStr">
        <is>
          <t>-</t>
        </is>
      </c>
      <c r="E222" t="inlineStr">
        <is>
          <t>Easy</t>
        </is>
      </c>
      <c r="F222" t="n">
        <v>5</v>
      </c>
      <c r="G222" t="inlineStr">
        <is>
          <t>2 Pointers</t>
        </is>
      </c>
      <c r="H222" t="inlineStr">
        <is>
          <t>Two Pointer on Arrays</t>
        </is>
      </c>
      <c r="I222" t="inlineStr">
        <is>
          <t>Leetcode</t>
        </is>
      </c>
      <c r="J222" t="inlineStr">
        <is>
          <t>Problem</t>
        </is>
      </c>
    </row>
    <row r="223">
      <c r="A223" t="n">
        <v>700</v>
      </c>
      <c r="B223" t="inlineStr">
        <is>
          <t>Sort Array by Parity II</t>
        </is>
      </c>
      <c r="C223">
        <f>HYPERLINK("https://leetcode.com/problems/sort-array-by-parity-ii/description/","sort-array-by-parity-ii")</f>
        <v/>
      </c>
      <c r="D223" t="inlineStr">
        <is>
          <t>-</t>
        </is>
      </c>
      <c r="E223" t="inlineStr">
        <is>
          <t>Easy</t>
        </is>
      </c>
      <c r="F223" t="n">
        <v>5</v>
      </c>
      <c r="G223" t="inlineStr">
        <is>
          <t>2 Pointers</t>
        </is>
      </c>
      <c r="H223" t="inlineStr">
        <is>
          <t>Two Pointer on Arrays</t>
        </is>
      </c>
      <c r="I223" t="inlineStr">
        <is>
          <t>Leetcode</t>
        </is>
      </c>
      <c r="J223" t="inlineStr">
        <is>
          <t>Problem</t>
        </is>
      </c>
    </row>
    <row r="224">
      <c r="A224" t="n">
        <v>622</v>
      </c>
      <c r="B224" t="inlineStr">
        <is>
          <t>Rearrange Array Elements by Sign</t>
        </is>
      </c>
      <c r="C224">
        <f>HYPERLINK("https://leetcode.com/problems/rearrange-array-elements-by-sign","rearrange-array-elements-by-sign")</f>
        <v/>
      </c>
      <c r="D224" t="inlineStr">
        <is>
          <t>-</t>
        </is>
      </c>
      <c r="E224" t="inlineStr">
        <is>
          <t>Medium</t>
        </is>
      </c>
      <c r="F224" t="n">
        <v>5</v>
      </c>
      <c r="G224" t="inlineStr">
        <is>
          <t>2 Pointers</t>
        </is>
      </c>
      <c r="H224" t="inlineStr">
        <is>
          <t>Two Pointer on Arrays</t>
        </is>
      </c>
      <c r="I224" t="inlineStr">
        <is>
          <t>Leetcode</t>
        </is>
      </c>
      <c r="J224" t="inlineStr">
        <is>
          <t>Problem</t>
        </is>
      </c>
    </row>
    <row r="225">
      <c r="A225" t="n">
        <v>636</v>
      </c>
      <c r="B225" t="inlineStr">
        <is>
          <t>Remove Duplicates from Sorted Array</t>
        </is>
      </c>
      <c r="C225">
        <f>HYPERLINK("https://leetcode.com/problems/remove-duplicates-from-sorted-array","remove-duplicates-from-sorted-array")</f>
        <v/>
      </c>
      <c r="D225" t="inlineStr">
        <is>
          <t>-</t>
        </is>
      </c>
      <c r="E225" t="inlineStr">
        <is>
          <t>Easy</t>
        </is>
      </c>
      <c r="F225" t="n">
        <v>5</v>
      </c>
      <c r="G225" t="inlineStr">
        <is>
          <t>2 Pointers</t>
        </is>
      </c>
      <c r="H225" t="inlineStr">
        <is>
          <t>Two Pointer on Arrays</t>
        </is>
      </c>
      <c r="I225" t="inlineStr">
        <is>
          <t>Leetcode</t>
        </is>
      </c>
      <c r="J225" t="inlineStr">
        <is>
          <t>Problem</t>
        </is>
      </c>
    </row>
    <row r="226">
      <c r="A226" t="n">
        <v>638</v>
      </c>
      <c r="B226" t="inlineStr">
        <is>
          <t>Remove Element</t>
        </is>
      </c>
      <c r="C226">
        <f>HYPERLINK("https://leetcode.com/problems/remove-element","remove-element")</f>
        <v/>
      </c>
      <c r="D226" t="inlineStr">
        <is>
          <t>-</t>
        </is>
      </c>
      <c r="E226" t="inlineStr">
        <is>
          <t>Easy</t>
        </is>
      </c>
      <c r="F226" t="n">
        <v>5</v>
      </c>
      <c r="G226" t="inlineStr">
        <is>
          <t>2 Pointers</t>
        </is>
      </c>
      <c r="H226" t="inlineStr">
        <is>
          <t>Two Pointer on Arrays</t>
        </is>
      </c>
      <c r="I226" t="inlineStr">
        <is>
          <t>Leetcode</t>
        </is>
      </c>
      <c r="J226" t="inlineStr">
        <is>
          <t>Problem</t>
        </is>
      </c>
    </row>
    <row r="227">
      <c r="A227" t="n">
        <v>585</v>
      </c>
      <c r="B227" t="inlineStr">
        <is>
          <t>Partition Array According to Given Pivot</t>
        </is>
      </c>
      <c r="C227">
        <f>HYPERLINK("https://leetcode.com/problems/partition-array-according-to-given-pivot","partition-array-according-to-given-pivot")</f>
        <v/>
      </c>
      <c r="D227" t="inlineStr">
        <is>
          <t>-</t>
        </is>
      </c>
      <c r="E227" t="inlineStr">
        <is>
          <t>Medium</t>
        </is>
      </c>
      <c r="F227" t="n">
        <v>5</v>
      </c>
      <c r="G227" t="inlineStr">
        <is>
          <t>2 Pointers</t>
        </is>
      </c>
      <c r="H227" t="inlineStr">
        <is>
          <t>Two Pointer on Arrays</t>
        </is>
      </c>
      <c r="I227" t="inlineStr">
        <is>
          <t>Leetcode</t>
        </is>
      </c>
      <c r="J227" t="inlineStr">
        <is>
          <t>Problem</t>
        </is>
      </c>
    </row>
    <row r="228">
      <c r="A228" t="n">
        <v>857</v>
      </c>
      <c r="B228" t="inlineStr">
        <is>
          <t>Rotate Array</t>
        </is>
      </c>
      <c r="C228">
        <f>HYPERLINK("https://leetcode.com/problems/rotate-array","rotate-array")</f>
        <v/>
      </c>
      <c r="D228" t="inlineStr">
        <is>
          <t>-</t>
        </is>
      </c>
      <c r="E228" t="inlineStr">
        <is>
          <t>Medium</t>
        </is>
      </c>
      <c r="F228" t="n">
        <v>5</v>
      </c>
      <c r="G228" t="inlineStr">
        <is>
          <t>2 Pointers</t>
        </is>
      </c>
      <c r="H228" t="inlineStr">
        <is>
          <t>Two Pointer on Arrays</t>
        </is>
      </c>
      <c r="I228" t="inlineStr">
        <is>
          <t>Leetcode</t>
        </is>
      </c>
      <c r="J228" t="inlineStr">
        <is>
          <t>Problem</t>
        </is>
      </c>
    </row>
    <row r="229">
      <c r="A229" t="n">
        <v>36</v>
      </c>
      <c r="B229" t="inlineStr">
        <is>
          <t>Apply Operations to an Array</t>
        </is>
      </c>
      <c r="C229">
        <f>HYPERLINK("https://leetcode.com/problems/apply-operations-to-an-array","apply-operations-to-an-array")</f>
        <v/>
      </c>
      <c r="D229" t="inlineStr">
        <is>
          <t>-</t>
        </is>
      </c>
      <c r="E229" t="inlineStr">
        <is>
          <t>Easy</t>
        </is>
      </c>
      <c r="F229" t="n">
        <v>5</v>
      </c>
      <c r="G229" t="inlineStr">
        <is>
          <t>2 Pointers</t>
        </is>
      </c>
      <c r="H229" t="inlineStr">
        <is>
          <t>Two Pointer on Arrays</t>
        </is>
      </c>
      <c r="I229" t="inlineStr">
        <is>
          <t>Leetcode</t>
        </is>
      </c>
      <c r="J229" t="inlineStr">
        <is>
          <t>Problem</t>
        </is>
      </c>
    </row>
    <row r="230">
      <c r="A230" t="n">
        <v>161</v>
      </c>
      <c r="B230" t="inlineStr">
        <is>
          <t>Find All K-Distant Indices in an Array</t>
        </is>
      </c>
      <c r="C230">
        <f>HYPERLINK("https://leetcode.com/problems/find-all-k-distant-indices-in-an-array","find-all-k-distant-indices-in-an-array")</f>
        <v/>
      </c>
      <c r="D230" t="inlineStr">
        <is>
          <t>-</t>
        </is>
      </c>
      <c r="E230" t="inlineStr">
        <is>
          <t>Easy</t>
        </is>
      </c>
      <c r="F230" t="n">
        <v>5</v>
      </c>
      <c r="G230" t="inlineStr">
        <is>
          <t>2 Pointers</t>
        </is>
      </c>
      <c r="H230" t="inlineStr">
        <is>
          <t>Two Pointer on Arrays</t>
        </is>
      </c>
      <c r="I230" t="inlineStr">
        <is>
          <t>Leetcode</t>
        </is>
      </c>
      <c r="J230" t="inlineStr">
        <is>
          <t>Problem</t>
        </is>
      </c>
    </row>
    <row r="231">
      <c r="A231" t="n">
        <v>21</v>
      </c>
      <c r="B231" t="inlineStr">
        <is>
          <t>Two Sum</t>
        </is>
      </c>
      <c r="C231">
        <f>HYPERLINK("https://leetcode.com/problems/two-sum/","two-sum")</f>
        <v/>
      </c>
      <c r="D231" t="inlineStr">
        <is>
          <t>-</t>
        </is>
      </c>
      <c r="E231" t="inlineStr">
        <is>
          <t>Easy</t>
        </is>
      </c>
      <c r="F231" t="n">
        <v>5</v>
      </c>
      <c r="G231" t="inlineStr">
        <is>
          <t>2 Pointers</t>
        </is>
      </c>
      <c r="H231" t="inlineStr">
        <is>
          <t>Two Pointer on Arrays</t>
        </is>
      </c>
      <c r="I231" t="inlineStr">
        <is>
          <t>Leetcode</t>
        </is>
      </c>
      <c r="J231" t="inlineStr">
        <is>
          <t>Problem</t>
        </is>
      </c>
    </row>
    <row r="232">
      <c r="A232" t="n">
        <v>25</v>
      </c>
      <c r="B232" t="inlineStr">
        <is>
          <t>3Sum</t>
        </is>
      </c>
      <c r="C232">
        <f>HYPERLINK("https://leetcode.com/problems/3sum","3sum")</f>
        <v/>
      </c>
      <c r="D232" t="inlineStr">
        <is>
          <t>-</t>
        </is>
      </c>
      <c r="E232" t="inlineStr">
        <is>
          <t>Medium</t>
        </is>
      </c>
      <c r="F232" t="n">
        <v>5</v>
      </c>
      <c r="G232" t="inlineStr">
        <is>
          <t>2 Pointers</t>
        </is>
      </c>
      <c r="H232" t="inlineStr">
        <is>
          <t>Two Pointer on Arrays</t>
        </is>
      </c>
      <c r="I232" t="inlineStr">
        <is>
          <t>Leetcode</t>
        </is>
      </c>
      <c r="J232" t="inlineStr">
        <is>
          <t>Problem</t>
        </is>
      </c>
    </row>
    <row r="233">
      <c r="A233" t="n">
        <v>26</v>
      </c>
      <c r="B233" t="inlineStr">
        <is>
          <t>3Sum Closest</t>
        </is>
      </c>
      <c r="C233">
        <f>HYPERLINK("https://leetcode.com/problems/3sum-closest","3sum-closest")</f>
        <v/>
      </c>
      <c r="D233" t="inlineStr">
        <is>
          <t>-</t>
        </is>
      </c>
      <c r="E233" t="inlineStr">
        <is>
          <t>Medium</t>
        </is>
      </c>
      <c r="F233" t="n">
        <v>5</v>
      </c>
      <c r="G233" t="inlineStr">
        <is>
          <t>2 Pointers</t>
        </is>
      </c>
      <c r="H233" t="inlineStr">
        <is>
          <t>Two Pointer on Arrays</t>
        </is>
      </c>
      <c r="I233" t="inlineStr">
        <is>
          <t>Leetcode</t>
        </is>
      </c>
      <c r="J233" t="inlineStr">
        <is>
          <t>Problem</t>
        </is>
      </c>
    </row>
    <row r="234">
      <c r="A234" t="n">
        <v>32</v>
      </c>
      <c r="B234" t="inlineStr">
        <is>
          <t>4Sum</t>
        </is>
      </c>
      <c r="C234">
        <f>HYPERLINK("https://leetcode.com/problems/4sum","4sum")</f>
        <v/>
      </c>
      <c r="D234" t="inlineStr">
        <is>
          <t>-</t>
        </is>
      </c>
      <c r="E234" t="inlineStr">
        <is>
          <t>Medium</t>
        </is>
      </c>
      <c r="F234" t="n">
        <v>5</v>
      </c>
      <c r="G234" t="inlineStr">
        <is>
          <t>2 Pointers</t>
        </is>
      </c>
      <c r="H234" t="inlineStr">
        <is>
          <t>Two Pointer on Arrays</t>
        </is>
      </c>
      <c r="I234" t="inlineStr">
        <is>
          <t>Leetcode</t>
        </is>
      </c>
      <c r="J234" t="inlineStr">
        <is>
          <t>Problem</t>
        </is>
      </c>
    </row>
    <row r="235">
      <c r="A235" t="n">
        <v>861</v>
      </c>
      <c r="B235" t="inlineStr">
        <is>
          <t>Sort Colors</t>
        </is>
      </c>
      <c r="C235">
        <f>HYPERLINK("https://leetcode.com/problems/sort-colors","sort-colors")</f>
        <v/>
      </c>
      <c r="D235" t="inlineStr">
        <is>
          <t>-</t>
        </is>
      </c>
      <c r="E235" t="inlineStr">
        <is>
          <t>Medium</t>
        </is>
      </c>
      <c r="F235" t="n">
        <v>5</v>
      </c>
      <c r="G235" t="inlineStr">
        <is>
          <t>2 Pointers</t>
        </is>
      </c>
      <c r="H235" t="inlineStr">
        <is>
          <t>Two Pointer on Arrays</t>
        </is>
      </c>
      <c r="I235" t="inlineStr">
        <is>
          <t>Leetcode</t>
        </is>
      </c>
      <c r="J235" t="inlineStr">
        <is>
          <t>Problem</t>
        </is>
      </c>
    </row>
    <row r="236">
      <c r="A236" t="n">
        <v>89</v>
      </c>
      <c r="B236" t="inlineStr">
        <is>
          <t>Container With Most Water</t>
        </is>
      </c>
      <c r="C236">
        <f>HYPERLINK("https://leetcode.com/problems/container-with-most-water","container-with-most-water")</f>
        <v/>
      </c>
      <c r="D236" t="inlineStr">
        <is>
          <t>-</t>
        </is>
      </c>
      <c r="E236" t="inlineStr">
        <is>
          <t>Medium</t>
        </is>
      </c>
      <c r="F236" t="n">
        <v>5</v>
      </c>
      <c r="G236" t="inlineStr">
        <is>
          <t>2 Pointers</t>
        </is>
      </c>
      <c r="H236" t="inlineStr">
        <is>
          <t>Two Pointer on Arrays</t>
        </is>
      </c>
      <c r="I236" t="inlineStr">
        <is>
          <t>Leetcode</t>
        </is>
      </c>
      <c r="J236" t="inlineStr">
        <is>
          <t>Problem</t>
        </is>
      </c>
    </row>
    <row r="237">
      <c r="A237" t="n">
        <v>775</v>
      </c>
      <c r="B237" t="inlineStr">
        <is>
          <t>Watering Plants II</t>
        </is>
      </c>
      <c r="C237">
        <f>HYPERLINK("https://leetcode.com/problems/watering-plants-ii","watering-plants-ii")</f>
        <v/>
      </c>
      <c r="D237" t="inlineStr">
        <is>
          <t>-</t>
        </is>
      </c>
      <c r="E237" t="inlineStr">
        <is>
          <t>Medium</t>
        </is>
      </c>
      <c r="F237" t="n">
        <v>5</v>
      </c>
      <c r="G237" t="inlineStr">
        <is>
          <t>2 Pointers</t>
        </is>
      </c>
      <c r="H237" t="inlineStr">
        <is>
          <t>Two Pointer on Arrays</t>
        </is>
      </c>
      <c r="I237" t="inlineStr">
        <is>
          <t>Leetcode</t>
        </is>
      </c>
      <c r="J237" t="inlineStr">
        <is>
          <t>Problem</t>
        </is>
      </c>
    </row>
    <row r="238">
      <c r="A238" t="n">
        <v>854</v>
      </c>
      <c r="B238" t="inlineStr">
        <is>
          <t>Next Permutation</t>
        </is>
      </c>
      <c r="C238">
        <f>HYPERLINK("https://leetcode.com/problems/next-permutation","next-permutation")</f>
        <v/>
      </c>
      <c r="D238" t="inlineStr">
        <is>
          <t>-</t>
        </is>
      </c>
      <c r="E238" t="inlineStr">
        <is>
          <t>Medium</t>
        </is>
      </c>
      <c r="F238" t="n">
        <v>5</v>
      </c>
      <c r="G238" t="inlineStr">
        <is>
          <t>2 Pointers</t>
        </is>
      </c>
      <c r="H238" t="inlineStr">
        <is>
          <t>Two Pointer on Arrays</t>
        </is>
      </c>
      <c r="I238" t="inlineStr">
        <is>
          <t>Leetcode</t>
        </is>
      </c>
      <c r="J238" t="inlineStr">
        <is>
          <t>Problem</t>
        </is>
      </c>
    </row>
    <row r="239">
      <c r="A239" t="n">
        <v>547</v>
      </c>
      <c r="B239" t="inlineStr">
        <is>
          <t>Next Greater Element III</t>
        </is>
      </c>
      <c r="C239">
        <f>HYPERLINK("https://leetcode.com/problems/next-greater-element-iii","next-greater-element-iii")</f>
        <v/>
      </c>
      <c r="D239" t="inlineStr">
        <is>
          <t>-</t>
        </is>
      </c>
      <c r="E239" t="inlineStr">
        <is>
          <t>Medium</t>
        </is>
      </c>
      <c r="F239" t="n">
        <v>5</v>
      </c>
      <c r="G239" t="inlineStr">
        <is>
          <t>2 Pointers</t>
        </is>
      </c>
      <c r="H239" t="inlineStr">
        <is>
          <t>Two Pointer on Arrays</t>
        </is>
      </c>
      <c r="I239" t="inlineStr">
        <is>
          <t>Leetcode</t>
        </is>
      </c>
      <c r="J239" t="inlineStr">
        <is>
          <t>Problem</t>
        </is>
      </c>
    </row>
    <row r="240">
      <c r="A240" t="n">
        <v>833</v>
      </c>
      <c r="B240" t="inlineStr">
        <is>
          <t>Reverse String</t>
        </is>
      </c>
      <c r="C240">
        <f>HYPERLINK("https://leetcode.com/problems/reverse-string","reverse-string")</f>
        <v/>
      </c>
      <c r="D240">
        <f>HYPERLINK("https://read.learnyard.com/dsa/reverse-string/","Read Article")</f>
        <v/>
      </c>
      <c r="E240" t="inlineStr">
        <is>
          <t>Easy</t>
        </is>
      </c>
      <c r="F240" t="n">
        <v>5</v>
      </c>
      <c r="G240" t="inlineStr">
        <is>
          <t>2 Pointers</t>
        </is>
      </c>
      <c r="H240" t="inlineStr">
        <is>
          <t>Two Pointer on Strings</t>
        </is>
      </c>
      <c r="I240" t="inlineStr">
        <is>
          <t>Leetcode</t>
        </is>
      </c>
      <c r="J240" t="inlineStr">
        <is>
          <t>Problem</t>
        </is>
      </c>
    </row>
    <row r="241">
      <c r="A241" t="n">
        <v>655</v>
      </c>
      <c r="B241" t="inlineStr">
        <is>
          <t>Reverse Prefix of Word</t>
        </is>
      </c>
      <c r="C241">
        <f>HYPERLINK("https://leetcode.com/problems/reverse-prefix-of-word","reverse-prefix-of-word")</f>
        <v/>
      </c>
      <c r="D241" t="inlineStr">
        <is>
          <t>-</t>
        </is>
      </c>
      <c r="E241" t="inlineStr">
        <is>
          <t>Easy</t>
        </is>
      </c>
      <c r="F241" t="n">
        <v>5</v>
      </c>
      <c r="G241" t="inlineStr">
        <is>
          <t>2 Pointers</t>
        </is>
      </c>
      <c r="H241" t="inlineStr">
        <is>
          <t>Two Pointer on Strings</t>
        </is>
      </c>
      <c r="I241" t="inlineStr">
        <is>
          <t>Leetcode</t>
        </is>
      </c>
      <c r="J241" t="inlineStr">
        <is>
          <t>Problem</t>
        </is>
      </c>
    </row>
    <row r="242">
      <c r="A242" t="n">
        <v>658</v>
      </c>
      <c r="B242" t="inlineStr">
        <is>
          <t>Reverse Vowels of a String</t>
        </is>
      </c>
      <c r="C242">
        <f>HYPERLINK("https://leetcode.com/problems/reverse-vowels-of-a-string","reverse-vowels-of-a-string")</f>
        <v/>
      </c>
      <c r="D242" t="inlineStr">
        <is>
          <t>-</t>
        </is>
      </c>
      <c r="E242" t="inlineStr">
        <is>
          <t>Easy</t>
        </is>
      </c>
      <c r="F242" t="n">
        <v>5</v>
      </c>
      <c r="G242" t="inlineStr">
        <is>
          <t>2 Pointers</t>
        </is>
      </c>
      <c r="H242" t="inlineStr">
        <is>
          <t>Two Pointer on Strings</t>
        </is>
      </c>
      <c r="I242" t="inlineStr">
        <is>
          <t>Leetcode</t>
        </is>
      </c>
      <c r="J242" t="inlineStr">
        <is>
          <t>Problem</t>
        </is>
      </c>
    </row>
    <row r="243">
      <c r="A243" t="n">
        <v>659</v>
      </c>
      <c r="B243" t="inlineStr">
        <is>
          <t>Reverse Words in a String</t>
        </is>
      </c>
      <c r="C243">
        <f>HYPERLINK("https://leetcode.com/problems/reverse-words-in-a-string","reverse-words-in-a-string")</f>
        <v/>
      </c>
      <c r="D243" t="inlineStr">
        <is>
          <t>-</t>
        </is>
      </c>
      <c r="E243" t="inlineStr">
        <is>
          <t>Medium</t>
        </is>
      </c>
      <c r="F243" t="n">
        <v>5</v>
      </c>
      <c r="G243" t="inlineStr">
        <is>
          <t>2 Pointers</t>
        </is>
      </c>
      <c r="H243" t="inlineStr">
        <is>
          <t>Two Pointer on Strings</t>
        </is>
      </c>
      <c r="I243" t="inlineStr">
        <is>
          <t>Leetcode</t>
        </is>
      </c>
      <c r="J243" t="inlineStr">
        <is>
          <t>Problem</t>
        </is>
      </c>
    </row>
    <row r="244">
      <c r="A244" t="n">
        <v>660</v>
      </c>
      <c r="B244" t="inlineStr">
        <is>
          <t>Reverse Words in a String III</t>
        </is>
      </c>
      <c r="C244">
        <f>HYPERLINK("https://leetcode.com/problems/reverse-words-in-a-string-iii","reverse-words-in-a-string-iii")</f>
        <v/>
      </c>
      <c r="D244" t="inlineStr">
        <is>
          <t>-</t>
        </is>
      </c>
      <c r="E244" t="inlineStr">
        <is>
          <t>Easy</t>
        </is>
      </c>
      <c r="F244" t="n">
        <v>5</v>
      </c>
      <c r="G244" t="inlineStr">
        <is>
          <t>2 Pointers</t>
        </is>
      </c>
      <c r="H244" t="inlineStr">
        <is>
          <t>Two Pointer on Strings</t>
        </is>
      </c>
      <c r="I244" t="inlineStr">
        <is>
          <t>Leetcode</t>
        </is>
      </c>
      <c r="J244" t="inlineStr">
        <is>
          <t>Problem</t>
        </is>
      </c>
    </row>
    <row r="245">
      <c r="A245" t="n">
        <v>765</v>
      </c>
      <c r="B245" t="inlineStr">
        <is>
          <t>Valid Palindrome</t>
        </is>
      </c>
      <c r="C245">
        <f>HYPERLINK("https://leetcode.com/problems/valid-palindrome","valid-palindrome")</f>
        <v/>
      </c>
      <c r="D245" t="inlineStr">
        <is>
          <t>-</t>
        </is>
      </c>
      <c r="E245" t="inlineStr">
        <is>
          <t>Easy</t>
        </is>
      </c>
      <c r="F245" t="n">
        <v>5</v>
      </c>
      <c r="G245" t="inlineStr">
        <is>
          <t>2 Pointers</t>
        </is>
      </c>
      <c r="H245" t="inlineStr">
        <is>
          <t>Two Pointer on Strings</t>
        </is>
      </c>
      <c r="I245" t="inlineStr">
        <is>
          <t>Leetcode</t>
        </is>
      </c>
      <c r="J245" t="inlineStr">
        <is>
          <t>Problem</t>
        </is>
      </c>
    </row>
    <row r="246">
      <c r="A246" t="n">
        <v>766</v>
      </c>
      <c r="B246" t="inlineStr">
        <is>
          <t>Valid Palindrome II</t>
        </is>
      </c>
      <c r="C246">
        <f>HYPERLINK("https://leetcode.com/problems/valid-palindrome-ii","valid-palindrome-ii")</f>
        <v/>
      </c>
      <c r="D246" t="inlineStr">
        <is>
          <t>-</t>
        </is>
      </c>
      <c r="E246" t="inlineStr">
        <is>
          <t>Easy</t>
        </is>
      </c>
      <c r="F246" t="n">
        <v>5</v>
      </c>
      <c r="G246" t="inlineStr">
        <is>
          <t>2 Pointers</t>
        </is>
      </c>
      <c r="H246" t="inlineStr">
        <is>
          <t>Two Pointer on Strings</t>
        </is>
      </c>
      <c r="I246" t="inlineStr">
        <is>
          <t>Leetcode</t>
        </is>
      </c>
      <c r="J246" t="inlineStr">
        <is>
          <t>Problem</t>
        </is>
      </c>
    </row>
    <row r="247">
      <c r="A247" t="n">
        <v>251</v>
      </c>
      <c r="B247" t="inlineStr">
        <is>
          <t>Lexicographically Smallest Palindrome</t>
        </is>
      </c>
      <c r="C247">
        <f>HYPERLINK("https://leetcode.com/problems/lexicographically-smallest-palindrome","lexicographically-smallest-palindrome")</f>
        <v/>
      </c>
      <c r="D247" t="inlineStr">
        <is>
          <t>-</t>
        </is>
      </c>
      <c r="E247" t="inlineStr">
        <is>
          <t>Easy</t>
        </is>
      </c>
      <c r="F247" t="n">
        <v>5</v>
      </c>
      <c r="G247" t="inlineStr">
        <is>
          <t>2 Pointers</t>
        </is>
      </c>
      <c r="H247" t="inlineStr">
        <is>
          <t>Two Pointer on Strings</t>
        </is>
      </c>
      <c r="I247" t="inlineStr">
        <is>
          <t>Leetcode</t>
        </is>
      </c>
      <c r="J247" t="inlineStr">
        <is>
          <t>Problem</t>
        </is>
      </c>
    </row>
    <row r="248">
      <c r="A248" t="n">
        <v>513</v>
      </c>
      <c r="B248" t="inlineStr">
        <is>
          <t>Merge Strings Alternately</t>
        </is>
      </c>
      <c r="C248">
        <f>HYPERLINK("https://leetcode.com/problems/merge-strings-alternately","merge-strings-alternately")</f>
        <v/>
      </c>
      <c r="D248" t="inlineStr">
        <is>
          <t>-</t>
        </is>
      </c>
      <c r="E248" t="inlineStr">
        <is>
          <t>Easy</t>
        </is>
      </c>
      <c r="F248" t="n">
        <v>5</v>
      </c>
      <c r="G248" t="inlineStr">
        <is>
          <t>2 Pointers</t>
        </is>
      </c>
      <c r="H248" t="inlineStr">
        <is>
          <t>Two Pointer on Strings</t>
        </is>
      </c>
      <c r="I248" t="inlineStr">
        <is>
          <t>Leetcode</t>
        </is>
      </c>
      <c r="J248" t="inlineStr">
        <is>
          <t>Problem</t>
        </is>
      </c>
    </row>
    <row r="249">
      <c r="A249" t="n">
        <v>236</v>
      </c>
      <c r="B249" t="inlineStr">
        <is>
          <t>Largest Merge of Two Strings</t>
        </is>
      </c>
      <c r="C249">
        <f>HYPERLINK("https://leetcode.com/problems/largest-merge-of-two-strings","largest-merge-of-two-strings")</f>
        <v/>
      </c>
      <c r="D249" t="inlineStr">
        <is>
          <t>-</t>
        </is>
      </c>
      <c r="E249" t="inlineStr">
        <is>
          <t>Medium</t>
        </is>
      </c>
      <c r="F249" t="n">
        <v>5</v>
      </c>
      <c r="G249" t="inlineStr">
        <is>
          <t>2 Pointers</t>
        </is>
      </c>
      <c r="H249" t="inlineStr">
        <is>
          <t>Two Pointer on Strings</t>
        </is>
      </c>
      <c r="I249" t="inlineStr">
        <is>
          <t>Leetcode</t>
        </is>
      </c>
      <c r="J249" t="inlineStr">
        <is>
          <t>Problem</t>
        </is>
      </c>
    </row>
    <row r="250">
      <c r="A250" t="n">
        <v>682</v>
      </c>
      <c r="B250" t="inlineStr">
        <is>
          <t>Shortest Distance to a Character</t>
        </is>
      </c>
      <c r="C250">
        <f>HYPERLINK("https://leetcode.com/problems/shortest-distance-to-a-character","shortest-distance-to-a-character")</f>
        <v/>
      </c>
      <c r="D250" t="inlineStr">
        <is>
          <t>-</t>
        </is>
      </c>
      <c r="E250" t="inlineStr">
        <is>
          <t>Easy</t>
        </is>
      </c>
      <c r="F250" t="n">
        <v>5</v>
      </c>
      <c r="G250" t="inlineStr">
        <is>
          <t>2 Pointers</t>
        </is>
      </c>
      <c r="H250" t="inlineStr">
        <is>
          <t>Two Pointer on Strings</t>
        </is>
      </c>
      <c r="I250" t="inlineStr">
        <is>
          <t>Leetcode</t>
        </is>
      </c>
      <c r="J250" t="inlineStr">
        <is>
          <t>Problem</t>
        </is>
      </c>
    </row>
    <row r="251">
      <c r="A251" t="n">
        <v>137</v>
      </c>
      <c r="B251" t="inlineStr">
        <is>
          <t>DI String Match</t>
        </is>
      </c>
      <c r="C251">
        <f>HYPERLINK("https://leetcode.com/problems/di-string-match","di-string-match")</f>
        <v/>
      </c>
      <c r="D251" t="inlineStr">
        <is>
          <t>-</t>
        </is>
      </c>
      <c r="E251" t="inlineStr">
        <is>
          <t>Easy</t>
        </is>
      </c>
      <c r="F251" t="n">
        <v>5</v>
      </c>
      <c r="G251" t="inlineStr">
        <is>
          <t>2 Pointers</t>
        </is>
      </c>
      <c r="H251" t="inlineStr">
        <is>
          <t>Two Pointer on Strings</t>
        </is>
      </c>
      <c r="I251" t="inlineStr">
        <is>
          <t>Leetcode</t>
        </is>
      </c>
      <c r="J251" t="inlineStr">
        <is>
          <t>Problem</t>
        </is>
      </c>
    </row>
    <row r="252">
      <c r="A252" t="n">
        <v>483</v>
      </c>
      <c r="B252" t="inlineStr">
        <is>
          <t>Make String a Subsequence Using Cyclic Increments</t>
        </is>
      </c>
      <c r="C252">
        <f>HYPERLINK("https://leetcode.com/problems/make-string-a-subsequence-using-cyclic-increments","make-string-a-subsequence-using-cyclic-increments")</f>
        <v/>
      </c>
      <c r="D252" t="inlineStr">
        <is>
          <t>-</t>
        </is>
      </c>
      <c r="E252" t="inlineStr">
        <is>
          <t>Medium</t>
        </is>
      </c>
      <c r="F252" t="n">
        <v>5</v>
      </c>
      <c r="G252" t="inlineStr">
        <is>
          <t>2 Pointers</t>
        </is>
      </c>
      <c r="H252" t="inlineStr">
        <is>
          <t>Two Pointer on Strings</t>
        </is>
      </c>
      <c r="I252" t="inlineStr">
        <is>
          <t>Leetcode</t>
        </is>
      </c>
      <c r="J252" t="inlineStr">
        <is>
          <t>Problem</t>
        </is>
      </c>
    </row>
    <row r="253">
      <c r="A253" t="n">
        <v>22</v>
      </c>
      <c r="B253" t="inlineStr">
        <is>
          <t>Count Binary Substrings</t>
        </is>
      </c>
      <c r="C253">
        <f>HYPERLINK("https://leetcode.com/problems/count-binary-substrings","count-binary-substrings")</f>
        <v/>
      </c>
      <c r="D253" t="inlineStr">
        <is>
          <t>-</t>
        </is>
      </c>
      <c r="E253" t="inlineStr">
        <is>
          <t>Easy</t>
        </is>
      </c>
      <c r="F253" t="n">
        <v>5</v>
      </c>
      <c r="G253" t="inlineStr">
        <is>
          <t>2 Pointers</t>
        </is>
      </c>
      <c r="H253" t="inlineStr">
        <is>
          <t>Two Pointer on Strings</t>
        </is>
      </c>
      <c r="I253" t="inlineStr">
        <is>
          <t>Leetcode</t>
        </is>
      </c>
      <c r="J253" t="inlineStr">
        <is>
          <t>Problem</t>
        </is>
      </c>
    </row>
    <row r="254">
      <c r="A254" t="n">
        <v>392</v>
      </c>
      <c r="B254" t="inlineStr">
        <is>
          <t>Minimum Length of String After Deleting Similar Ends</t>
        </is>
      </c>
      <c r="C254">
        <f>HYPERLINK("https://leetcode.com/problems/minimum-length-of-string-after-deleting-similar-ends","minimum-length-of-string-after-deleting-similar-ends")</f>
        <v/>
      </c>
      <c r="D254" t="inlineStr">
        <is>
          <t>-</t>
        </is>
      </c>
      <c r="E254" t="inlineStr">
        <is>
          <t>Medium</t>
        </is>
      </c>
      <c r="F254" t="n">
        <v>5</v>
      </c>
      <c r="G254" t="inlineStr">
        <is>
          <t>2 Pointers</t>
        </is>
      </c>
      <c r="H254" t="inlineStr">
        <is>
          <t>Two Pointer on Strings</t>
        </is>
      </c>
      <c r="I254" t="inlineStr">
        <is>
          <t>Leetcode</t>
        </is>
      </c>
      <c r="J254" t="inlineStr">
        <is>
          <t>Problem</t>
        </is>
      </c>
    </row>
    <row r="255">
      <c r="A255" t="n">
        <v>717</v>
      </c>
      <c r="B255" t="inlineStr">
        <is>
          <t>String Compression</t>
        </is>
      </c>
      <c r="C255">
        <f>HYPERLINK("https://leetcode.com/problems/string-compression","string-compression")</f>
        <v/>
      </c>
      <c r="D255" t="inlineStr">
        <is>
          <t>-</t>
        </is>
      </c>
      <c r="E255" t="inlineStr">
        <is>
          <t>Medium</t>
        </is>
      </c>
      <c r="F255" t="n">
        <v>5</v>
      </c>
      <c r="G255" t="inlineStr">
        <is>
          <t>2 Pointers</t>
        </is>
      </c>
      <c r="H255" t="inlineStr">
        <is>
          <t>Two Pointer on Strings</t>
        </is>
      </c>
      <c r="I255" t="inlineStr">
        <is>
          <t>Leetcode</t>
        </is>
      </c>
      <c r="J255" t="inlineStr">
        <is>
          <t>Problem</t>
        </is>
      </c>
    </row>
    <row r="256">
      <c r="A256" t="n">
        <v>812</v>
      </c>
      <c r="B256" t="inlineStr">
        <is>
          <t>Separate Black and White Balls</t>
        </is>
      </c>
      <c r="C256">
        <f>HYPERLINK("https://leetcode.com/problems/separate-black-and-white-balls","separate-black-and-white-balls")</f>
        <v/>
      </c>
      <c r="D256" t="inlineStr">
        <is>
          <t>-</t>
        </is>
      </c>
      <c r="E256" t="inlineStr">
        <is>
          <t>Medium</t>
        </is>
      </c>
      <c r="F256" t="n">
        <v>5</v>
      </c>
      <c r="G256" t="inlineStr">
        <is>
          <t>2 Pointers</t>
        </is>
      </c>
      <c r="H256" t="inlineStr">
        <is>
          <t>Two Pointer on Strings</t>
        </is>
      </c>
      <c r="I256" t="inlineStr">
        <is>
          <t>Leetcode</t>
        </is>
      </c>
      <c r="J256" t="inlineStr">
        <is>
          <t>Problem</t>
        </is>
      </c>
    </row>
    <row r="257">
      <c r="A257" t="n">
        <v>538</v>
      </c>
      <c r="B257" t="inlineStr">
        <is>
          <t>Move Pieces to Obtain a String</t>
        </is>
      </c>
      <c r="C257">
        <f>HYPERLINK("https://leetcode.com/problems/move-pieces-to-obtain-a-string","move-pieces-to-obtain-a-string")</f>
        <v/>
      </c>
      <c r="D257" t="inlineStr">
        <is>
          <t>-</t>
        </is>
      </c>
      <c r="E257" t="inlineStr">
        <is>
          <t>Medium</t>
        </is>
      </c>
      <c r="F257" t="n">
        <v>5</v>
      </c>
      <c r="G257" t="inlineStr">
        <is>
          <t>2 Pointers</t>
        </is>
      </c>
      <c r="H257" t="inlineStr">
        <is>
          <t>Two Pointer on Strings</t>
        </is>
      </c>
      <c r="I257" t="inlineStr">
        <is>
          <t>Leetcode</t>
        </is>
      </c>
      <c r="J257" t="inlineStr">
        <is>
          <t>Problem</t>
        </is>
      </c>
    </row>
    <row r="258">
      <c r="A258" t="n">
        <v>677</v>
      </c>
      <c r="B258" t="inlineStr">
        <is>
          <t>Sentence Similarity III</t>
        </is>
      </c>
      <c r="C258">
        <f>HYPERLINK("https://leetcode.com/problems/sentence-similarity-iii","sentence-similarity-iii")</f>
        <v/>
      </c>
      <c r="D258" t="inlineStr">
        <is>
          <t>-</t>
        </is>
      </c>
      <c r="E258" t="inlineStr">
        <is>
          <t>Medium</t>
        </is>
      </c>
      <c r="F258" t="n">
        <v>5</v>
      </c>
      <c r="G258" t="inlineStr">
        <is>
          <t>2 Pointers</t>
        </is>
      </c>
      <c r="H258" t="inlineStr">
        <is>
          <t>Two Pointer on Strings</t>
        </is>
      </c>
      <c r="I258" t="inlineStr">
        <is>
          <t>Leetcode</t>
        </is>
      </c>
      <c r="J258" t="inlineStr">
        <is>
          <t>Problem</t>
        </is>
      </c>
    </row>
    <row r="259">
      <c r="A259" t="n">
        <v>620</v>
      </c>
      <c r="B259" t="inlineStr">
        <is>
          <t>Range Sum Query - Immutable</t>
        </is>
      </c>
      <c r="C259">
        <f>HYPERLINK("https://leetcode.com/problems/range-sum-query-immutable","range-sum-query-immutable")</f>
        <v/>
      </c>
      <c r="D259" t="inlineStr">
        <is>
          <t>-</t>
        </is>
      </c>
      <c r="E259" t="inlineStr">
        <is>
          <t>Easy</t>
        </is>
      </c>
      <c r="F259" t="n">
        <v>6</v>
      </c>
      <c r="G259" t="inlineStr">
        <is>
          <t>Prefix Sum</t>
        </is>
      </c>
      <c r="H259" t="inlineStr">
        <is>
          <t>Prefix Sum</t>
        </is>
      </c>
      <c r="I259" t="inlineStr">
        <is>
          <t>Leetcode</t>
        </is>
      </c>
      <c r="J259" t="inlineStr">
        <is>
          <t>Problem</t>
        </is>
      </c>
    </row>
    <row r="260">
      <c r="A260" t="n">
        <v>244</v>
      </c>
      <c r="B260" t="inlineStr">
        <is>
          <t>Left and Right Sum Differences</t>
        </is>
      </c>
      <c r="C260">
        <f>HYPERLINK("https://leetcode.com/problems/left-and-right-sum-differences/description/","left-and-right-sum-differences")</f>
        <v/>
      </c>
      <c r="D260" t="inlineStr">
        <is>
          <t>-</t>
        </is>
      </c>
      <c r="E260" t="inlineStr">
        <is>
          <t>Easy</t>
        </is>
      </c>
      <c r="F260" t="n">
        <v>6</v>
      </c>
      <c r="G260" t="inlineStr">
        <is>
          <t>Prefix Sum</t>
        </is>
      </c>
      <c r="H260" t="inlineStr">
        <is>
          <t>Prefix Sum</t>
        </is>
      </c>
      <c r="I260" t="inlineStr">
        <is>
          <t>Leetcode</t>
        </is>
      </c>
      <c r="J260" t="inlineStr">
        <is>
          <t>Problem</t>
        </is>
      </c>
    </row>
    <row r="261">
      <c r="A261" t="n">
        <v>126</v>
      </c>
      <c r="B261" t="inlineStr">
        <is>
          <t>Count Vowel Strings in Ranges</t>
        </is>
      </c>
      <c r="C261">
        <f>HYPERLINK("https://leetcode.com/problems/count-vowel-strings-in-ranges/description/","count-vowel-strings-in-ranges")</f>
        <v/>
      </c>
      <c r="D261" t="inlineStr">
        <is>
          <t>-</t>
        </is>
      </c>
      <c r="E261" t="inlineStr">
        <is>
          <t>Medium</t>
        </is>
      </c>
      <c r="F261" t="n">
        <v>6</v>
      </c>
      <c r="G261" t="inlineStr">
        <is>
          <t>Prefix Sum</t>
        </is>
      </c>
      <c r="H261" t="inlineStr">
        <is>
          <t>Prefix Sum</t>
        </is>
      </c>
      <c r="I261" t="inlineStr">
        <is>
          <t>Leetcode</t>
        </is>
      </c>
      <c r="J261" t="inlineStr">
        <is>
          <t>Problem</t>
        </is>
      </c>
    </row>
    <row r="262">
      <c r="A262" t="n">
        <v>411</v>
      </c>
      <c r="B262" t="inlineStr">
        <is>
          <t>Minimum Penalty for a Shop</t>
        </is>
      </c>
      <c r="C262">
        <f>HYPERLINK("https://leetcode.com/problems/minimum-penalty-for-a-shop/description/","minimum-penalty-for-a-shop")</f>
        <v/>
      </c>
      <c r="D262" t="inlineStr">
        <is>
          <t>-</t>
        </is>
      </c>
      <c r="E262" t="inlineStr">
        <is>
          <t>Medium</t>
        </is>
      </c>
      <c r="F262" t="n">
        <v>6</v>
      </c>
      <c r="G262" t="inlineStr">
        <is>
          <t>Prefix Sum</t>
        </is>
      </c>
      <c r="H262" t="inlineStr">
        <is>
          <t>Prefix Sum</t>
        </is>
      </c>
      <c r="I262" t="inlineStr">
        <is>
          <t>Leetcode</t>
        </is>
      </c>
      <c r="J262" t="inlineStr">
        <is>
          <t>Problem</t>
        </is>
      </c>
    </row>
    <row r="263">
      <c r="A263" t="n">
        <v>168</v>
      </c>
      <c r="B263" t="inlineStr">
        <is>
          <t>Find Good Days to Rob the Bank</t>
        </is>
      </c>
      <c r="C263">
        <f>HYPERLINK("https://leetcode.com/problems/find-good-days-to-rob-the-bank/","find-good-days-to-rob-the-bank")</f>
        <v/>
      </c>
      <c r="D263" t="inlineStr">
        <is>
          <t>-</t>
        </is>
      </c>
      <c r="E263" t="inlineStr">
        <is>
          <t>Medium</t>
        </is>
      </c>
      <c r="F263" t="n">
        <v>6</v>
      </c>
      <c r="G263" t="inlineStr">
        <is>
          <t>Prefix Sum</t>
        </is>
      </c>
      <c r="H263" t="inlineStr">
        <is>
          <t>Prefix Sum</t>
        </is>
      </c>
      <c r="I263" t="inlineStr">
        <is>
          <t>Leetcode</t>
        </is>
      </c>
      <c r="J263" t="inlineStr">
        <is>
          <t>Problem</t>
        </is>
      </c>
    </row>
    <row r="264">
      <c r="A264" t="n">
        <v>729</v>
      </c>
      <c r="B264" t="inlineStr">
        <is>
          <t>Sum of Absolute Differences in a Sorted Array</t>
        </is>
      </c>
      <c r="C264">
        <f>HYPERLINK("https://leetcode.com/problems/sum-of-absolute-differences-in-a-sorted-array/description/","sum-of-absolute-differences-in-a-sorted-array")</f>
        <v/>
      </c>
      <c r="D264" t="inlineStr">
        <is>
          <t>-</t>
        </is>
      </c>
      <c r="E264" t="inlineStr">
        <is>
          <t>Medium</t>
        </is>
      </c>
      <c r="F264" t="n">
        <v>6</v>
      </c>
      <c r="G264" t="inlineStr">
        <is>
          <t>Prefix Sum</t>
        </is>
      </c>
      <c r="H264" t="inlineStr">
        <is>
          <t>Prefix Sum</t>
        </is>
      </c>
      <c r="I264" t="inlineStr">
        <is>
          <t>Leetcode</t>
        </is>
      </c>
      <c r="J264" t="inlineStr">
        <is>
          <t>Problem</t>
        </is>
      </c>
    </row>
    <row r="265">
      <c r="A265" t="n">
        <v>808</v>
      </c>
      <c r="B265" t="inlineStr">
        <is>
          <t>Product of Array Except Self</t>
        </is>
      </c>
      <c r="C265">
        <f>HYPERLINK("https://leetcode.com/problems/product-of-array-except-self","product-of-array-except-self")</f>
        <v/>
      </c>
      <c r="D265" t="inlineStr">
        <is>
          <t>-</t>
        </is>
      </c>
      <c r="E265" t="inlineStr">
        <is>
          <t>Medium</t>
        </is>
      </c>
      <c r="F265" t="n">
        <v>6</v>
      </c>
      <c r="G265" t="inlineStr">
        <is>
          <t>Prefix Sum</t>
        </is>
      </c>
      <c r="H265" t="inlineStr">
        <is>
          <t>Prefix Sum</t>
        </is>
      </c>
      <c r="I265" t="inlineStr">
        <is>
          <t>Leetcode</t>
        </is>
      </c>
      <c r="J265" t="inlineStr">
        <is>
          <t>Problem</t>
        </is>
      </c>
    </row>
    <row r="266">
      <c r="A266" t="n">
        <v>809</v>
      </c>
      <c r="B266" t="inlineStr">
        <is>
          <t>Product of the Last K Numbers</t>
        </is>
      </c>
      <c r="C266">
        <f>HYPERLINK("https://leetcode.com/problems/product-of-the-last-k-numbers/description/","product-of-the-last-k-numbers")</f>
        <v/>
      </c>
      <c r="D266" t="inlineStr">
        <is>
          <t>-</t>
        </is>
      </c>
      <c r="E266" t="inlineStr">
        <is>
          <t>Medium</t>
        </is>
      </c>
      <c r="F266" t="n">
        <v>6</v>
      </c>
      <c r="G266" t="inlineStr">
        <is>
          <t>Prefix Sum</t>
        </is>
      </c>
      <c r="H266" t="inlineStr">
        <is>
          <t>Prefix Sum</t>
        </is>
      </c>
      <c r="I266" t="inlineStr">
        <is>
          <t>Leetcode</t>
        </is>
      </c>
      <c r="J266" t="inlineStr">
        <is>
          <t>Problem</t>
        </is>
      </c>
    </row>
    <row r="267">
      <c r="A267" t="n">
        <v>644</v>
      </c>
      <c r="B267" t="inlineStr">
        <is>
          <t>Removing Minimum Number of Magic Beans</t>
        </is>
      </c>
      <c r="C267">
        <f>HYPERLINK("https://leetcode.com/problems/removing-minimum-number-of-magic-beans/description/","removing-minimum-number-of-magic-beans")</f>
        <v/>
      </c>
      <c r="D267" t="inlineStr">
        <is>
          <t>-</t>
        </is>
      </c>
      <c r="E267" t="inlineStr">
        <is>
          <t>Medium</t>
        </is>
      </c>
      <c r="F267" t="n">
        <v>6</v>
      </c>
      <c r="G267" t="inlineStr">
        <is>
          <t>Prefix Sum</t>
        </is>
      </c>
      <c r="H267" t="inlineStr">
        <is>
          <t>Prefix Sum</t>
        </is>
      </c>
      <c r="I267" t="inlineStr">
        <is>
          <t>Leetcode</t>
        </is>
      </c>
      <c r="J267" t="inlineStr">
        <is>
          <t>Problem</t>
        </is>
      </c>
    </row>
    <row r="268">
      <c r="A268" t="n">
        <v>159</v>
      </c>
      <c r="B268" t="inlineStr">
        <is>
          <t>Find All Good Indices</t>
        </is>
      </c>
      <c r="C268">
        <f>HYPERLINK("https://leetcode.com/problems/find-all-good-indices/description/","find-all-good-indices")</f>
        <v/>
      </c>
      <c r="D268" t="inlineStr">
        <is>
          <t>-</t>
        </is>
      </c>
      <c r="E268" t="inlineStr">
        <is>
          <t>Medium</t>
        </is>
      </c>
      <c r="F268" t="n">
        <v>6</v>
      </c>
      <c r="G268" t="inlineStr">
        <is>
          <t>Prefix Sum</t>
        </is>
      </c>
      <c r="H268" t="inlineStr">
        <is>
          <t>Prefix Sum</t>
        </is>
      </c>
      <c r="I268" t="inlineStr">
        <is>
          <t>Leetcode</t>
        </is>
      </c>
      <c r="J268" t="inlineStr">
        <is>
          <t>Problem</t>
        </is>
      </c>
    </row>
    <row r="269">
      <c r="A269" t="n">
        <v>539</v>
      </c>
      <c r="B269" t="inlineStr">
        <is>
          <t>Movement of Robots</t>
        </is>
      </c>
      <c r="C269">
        <f>HYPERLINK("https://leetcode.com/problems/movement-of-robots/description/","movement-of-robots")</f>
        <v/>
      </c>
      <c r="D269" t="inlineStr">
        <is>
          <t>-</t>
        </is>
      </c>
      <c r="E269" t="inlineStr">
        <is>
          <t>Medium</t>
        </is>
      </c>
      <c r="F269" t="n">
        <v>6</v>
      </c>
      <c r="G269" t="inlineStr">
        <is>
          <t>Prefix Sum</t>
        </is>
      </c>
      <c r="H269" t="inlineStr">
        <is>
          <t>Prefix Sum</t>
        </is>
      </c>
      <c r="I269" t="inlineStr">
        <is>
          <t>Leetcode</t>
        </is>
      </c>
      <c r="J269" t="inlineStr">
        <is>
          <t>Problem</t>
        </is>
      </c>
    </row>
    <row r="270">
      <c r="A270" t="n">
        <v>811</v>
      </c>
      <c r="B270" t="inlineStr">
        <is>
          <t>Range Sum Query 2D - Immutable</t>
        </is>
      </c>
      <c r="C270">
        <f>HYPERLINK("https://leetcode.com/problems/range-sum-query-2d-immutable","range-sum-query-2d-immutable")</f>
        <v/>
      </c>
      <c r="D270" t="inlineStr">
        <is>
          <t>-</t>
        </is>
      </c>
      <c r="E270" t="inlineStr">
        <is>
          <t>Medium</t>
        </is>
      </c>
      <c r="F270" t="n">
        <v>6</v>
      </c>
      <c r="G270" t="inlineStr">
        <is>
          <t>Prefix Sum</t>
        </is>
      </c>
      <c r="H270" t="inlineStr">
        <is>
          <t>Prefix Sum</t>
        </is>
      </c>
      <c r="I270" t="inlineStr">
        <is>
          <t>Leetcode</t>
        </is>
      </c>
      <c r="J270" t="inlineStr">
        <is>
          <t>Problem</t>
        </is>
      </c>
    </row>
    <row r="271">
      <c r="A271" t="n">
        <v>473</v>
      </c>
      <c r="B271" t="inlineStr">
        <is>
          <t>Increment Submatrices by One</t>
        </is>
      </c>
      <c r="C271">
        <f>HYPERLINK("https://leetcode.com/problems/increment-submatrices-by-one/","increment-submatrices-by-one")</f>
        <v/>
      </c>
      <c r="D271" t="inlineStr">
        <is>
          <t>-</t>
        </is>
      </c>
      <c r="E271" t="inlineStr">
        <is>
          <t>Medium</t>
        </is>
      </c>
      <c r="F271" t="n">
        <v>6</v>
      </c>
      <c r="G271" t="inlineStr">
        <is>
          <t>Prefix Sum</t>
        </is>
      </c>
      <c r="H271" t="inlineStr">
        <is>
          <t>Prefix Sum</t>
        </is>
      </c>
      <c r="I271" t="inlineStr">
        <is>
          <t>Leetcode</t>
        </is>
      </c>
      <c r="J271" t="inlineStr">
        <is>
          <t>Problem</t>
        </is>
      </c>
    </row>
    <row r="272">
      <c r="A272" t="n">
        <v>604</v>
      </c>
      <c r="B272" t="inlineStr">
        <is>
          <t>Power of Heroes</t>
        </is>
      </c>
      <c r="C272">
        <f>HYPERLINK("https://leetcode.com/problems/power-of-heroes/description/","power-of-heroes")</f>
        <v/>
      </c>
      <c r="D272" t="inlineStr">
        <is>
          <t>-</t>
        </is>
      </c>
      <c r="E272" t="inlineStr">
        <is>
          <t>Hard</t>
        </is>
      </c>
      <c r="F272" t="n">
        <v>6</v>
      </c>
      <c r="G272" t="inlineStr">
        <is>
          <t>Prefix Sum</t>
        </is>
      </c>
      <c r="H272" t="inlineStr">
        <is>
          <t>Prefix Sum</t>
        </is>
      </c>
      <c r="I272" t="inlineStr">
        <is>
          <t>Leetcode</t>
        </is>
      </c>
      <c r="J272" t="inlineStr">
        <is>
          <t>Problem</t>
        </is>
      </c>
    </row>
    <row r="273">
      <c r="A273" t="n">
        <v>381</v>
      </c>
      <c r="B273" t="inlineStr">
        <is>
          <t>Minimum Cost to Make Array Equal</t>
        </is>
      </c>
      <c r="C273">
        <f>HYPERLINK("https://leetcode.com/problems/minimum-cost-to-make-array-equal/description/","minimum-cost-to-make-array-equal")</f>
        <v/>
      </c>
      <c r="D273" t="inlineStr">
        <is>
          <t>-</t>
        </is>
      </c>
      <c r="E273" t="inlineStr">
        <is>
          <t>Hard</t>
        </is>
      </c>
      <c r="F273" t="n">
        <v>6</v>
      </c>
      <c r="G273" t="inlineStr">
        <is>
          <t>Prefix Sum</t>
        </is>
      </c>
      <c r="H273" t="inlineStr">
        <is>
          <t>Prefix Sum</t>
        </is>
      </c>
      <c r="I273" t="inlineStr">
        <is>
          <t>Leetcode</t>
        </is>
      </c>
      <c r="J273" t="inlineStr">
        <is>
          <t>Problem</t>
        </is>
      </c>
    </row>
    <row r="274">
      <c r="A274" t="n">
        <v>497</v>
      </c>
      <c r="B274" t="inlineStr">
        <is>
          <t>Maximum Population Year</t>
        </is>
      </c>
      <c r="C274">
        <f>HYPERLINK("https://leetcode.com/problems/maximum-population-year/","maximum-population-year")</f>
        <v/>
      </c>
      <c r="D274" t="inlineStr">
        <is>
          <t>-</t>
        </is>
      </c>
      <c r="E274" t="inlineStr">
        <is>
          <t>Easy</t>
        </is>
      </c>
      <c r="F274" t="n">
        <v>6</v>
      </c>
      <c r="G274" t="inlineStr">
        <is>
          <t>Prefix Sum</t>
        </is>
      </c>
      <c r="H274" t="inlineStr">
        <is>
          <t>Line Sweep</t>
        </is>
      </c>
      <c r="I274" t="inlineStr">
        <is>
          <t>Leetcode</t>
        </is>
      </c>
      <c r="J274" t="inlineStr">
        <is>
          <t>Problem</t>
        </is>
      </c>
    </row>
    <row r="275">
      <c r="A275" t="n">
        <v>602</v>
      </c>
      <c r="B275" t="inlineStr">
        <is>
          <t>Points That Intersect With Cars</t>
        </is>
      </c>
      <c r="C275">
        <f>HYPERLINK("https://leetcode.com/problems/points-that-intersect-with-cars/","points-that-intersect-with-cars")</f>
        <v/>
      </c>
      <c r="D275" t="inlineStr">
        <is>
          <t>-</t>
        </is>
      </c>
      <c r="E275" t="inlineStr">
        <is>
          <t>Easy</t>
        </is>
      </c>
      <c r="F275" t="n">
        <v>6</v>
      </c>
      <c r="G275" t="inlineStr">
        <is>
          <t>Prefix Sum</t>
        </is>
      </c>
      <c r="H275" t="inlineStr">
        <is>
          <t>Line Sweep</t>
        </is>
      </c>
      <c r="I275" t="inlineStr">
        <is>
          <t>Leetcode</t>
        </is>
      </c>
      <c r="J275" t="inlineStr">
        <is>
          <t>Problem</t>
        </is>
      </c>
    </row>
    <row r="276">
      <c r="A276" t="n">
        <v>1445</v>
      </c>
      <c r="B276" t="inlineStr">
        <is>
          <t>Pongal Bunk</t>
        </is>
      </c>
      <c r="C276">
        <f>HYPERLINK("https://www.codechef.com/problems/COWA19B","Solve Problem")</f>
        <v/>
      </c>
      <c r="D276" t="inlineStr">
        <is>
          <t>-</t>
        </is>
      </c>
      <c r="E276" t="inlineStr">
        <is>
          <t>Medium</t>
        </is>
      </c>
      <c r="F276" t="n">
        <v>6</v>
      </c>
      <c r="G276" t="inlineStr">
        <is>
          <t>Prefix Sum</t>
        </is>
      </c>
      <c r="H276" t="inlineStr">
        <is>
          <t>Line Sweep</t>
        </is>
      </c>
      <c r="I276" t="inlineStr">
        <is>
          <t>Leetcode</t>
        </is>
      </c>
      <c r="J276" t="inlineStr">
        <is>
          <t>Problem</t>
        </is>
      </c>
    </row>
    <row r="277">
      <c r="A277" t="n">
        <v>444</v>
      </c>
      <c r="B277" t="inlineStr">
        <is>
          <t>Car Pooling</t>
        </is>
      </c>
      <c r="C277">
        <f>HYPERLINK("https://leetcode.com/problems/car-pooling/","car-pooling")</f>
        <v/>
      </c>
      <c r="D277" t="inlineStr">
        <is>
          <t>-</t>
        </is>
      </c>
      <c r="E277" t="inlineStr">
        <is>
          <t>Medium</t>
        </is>
      </c>
      <c r="F277" t="n">
        <v>6</v>
      </c>
      <c r="G277" t="inlineStr">
        <is>
          <t>Prefix Sum</t>
        </is>
      </c>
      <c r="H277" t="inlineStr">
        <is>
          <t>Line Sweep</t>
        </is>
      </c>
      <c r="I277" t="inlineStr">
        <is>
          <t>Leetcode</t>
        </is>
      </c>
      <c r="J277" t="inlineStr">
        <is>
          <t>Problem</t>
        </is>
      </c>
    </row>
    <row r="278">
      <c r="A278" t="n">
        <v>541</v>
      </c>
      <c r="B278" t="inlineStr">
        <is>
          <t>My Calendar II</t>
        </is>
      </c>
      <c r="C278">
        <f>HYPERLINK("https://leetcode.com/problems/my-calendar-ii/","my-calendar-ii")</f>
        <v/>
      </c>
      <c r="D278" t="inlineStr">
        <is>
          <t>-</t>
        </is>
      </c>
      <c r="E278" t="inlineStr">
        <is>
          <t>Medium</t>
        </is>
      </c>
      <c r="F278" t="n">
        <v>6</v>
      </c>
      <c r="G278" t="inlineStr">
        <is>
          <t>Prefix Sum</t>
        </is>
      </c>
      <c r="H278" t="inlineStr">
        <is>
          <t>Line Sweep</t>
        </is>
      </c>
      <c r="I278" t="inlineStr">
        <is>
          <t>Leetcode</t>
        </is>
      </c>
      <c r="J278" t="inlineStr">
        <is>
          <t>Problem</t>
        </is>
      </c>
    </row>
    <row r="279">
      <c r="A279" t="n">
        <v>679</v>
      </c>
      <c r="B279" t="inlineStr">
        <is>
          <t>Shifting Letters II</t>
        </is>
      </c>
      <c r="C279">
        <f>HYPERLINK("https://leetcode.com/problems/shifting-letters-ii/description/","shifting-letters-ii")</f>
        <v/>
      </c>
      <c r="D279" t="inlineStr">
        <is>
          <t>-</t>
        </is>
      </c>
      <c r="E279" t="inlineStr">
        <is>
          <t>Medium</t>
        </is>
      </c>
      <c r="F279" t="n">
        <v>6</v>
      </c>
      <c r="G279" t="inlineStr">
        <is>
          <t>Prefix Sum</t>
        </is>
      </c>
      <c r="H279" t="inlineStr">
        <is>
          <t>Line Sweep</t>
        </is>
      </c>
      <c r="I279" t="inlineStr">
        <is>
          <t>Leetcode</t>
        </is>
      </c>
      <c r="J279" t="inlineStr">
        <is>
          <t>Problem</t>
        </is>
      </c>
    </row>
    <row r="280">
      <c r="A280" t="n">
        <v>595</v>
      </c>
      <c r="B280" t="inlineStr">
        <is>
          <t>Perfect Rectangle</t>
        </is>
      </c>
      <c r="C280">
        <f>HYPERLINK("https://leetcode.com/problems/perfect-rectangle/description/","perfect-rectangle")</f>
        <v/>
      </c>
      <c r="D280" t="inlineStr">
        <is>
          <t>-</t>
        </is>
      </c>
      <c r="E280" t="inlineStr">
        <is>
          <t>Hard</t>
        </is>
      </c>
      <c r="F280" t="n">
        <v>6</v>
      </c>
      <c r="G280" t="inlineStr">
        <is>
          <t>Prefix Sum</t>
        </is>
      </c>
      <c r="H280" t="inlineStr">
        <is>
          <t>Line Sweep</t>
        </is>
      </c>
      <c r="I280" t="inlineStr">
        <is>
          <t>Leetcode</t>
        </is>
      </c>
      <c r="J280" t="inlineStr">
        <is>
          <t>Problem</t>
        </is>
      </c>
    </row>
    <row r="281">
      <c r="A281" t="n">
        <v>626</v>
      </c>
      <c r="B281" t="inlineStr">
        <is>
          <t>Rectangle Area II</t>
        </is>
      </c>
      <c r="C281">
        <f>HYPERLINK("https://leetcode.com/problems/rectangle-area-ii/","rectangle-area-ii")</f>
        <v/>
      </c>
      <c r="D281" t="inlineStr">
        <is>
          <t>-</t>
        </is>
      </c>
      <c r="E281" t="inlineStr">
        <is>
          <t>Hard</t>
        </is>
      </c>
      <c r="F281" t="n">
        <v>6</v>
      </c>
      <c r="G281" t="inlineStr">
        <is>
          <t>Prefix Sum</t>
        </is>
      </c>
      <c r="H281" t="inlineStr">
        <is>
          <t>Line Sweep</t>
        </is>
      </c>
      <c r="I281" t="inlineStr">
        <is>
          <t>Leetcode</t>
        </is>
      </c>
      <c r="J281" t="inlineStr">
        <is>
          <t>Problem</t>
        </is>
      </c>
    </row>
    <row r="282">
      <c r="A282" t="n">
        <v>557</v>
      </c>
      <c r="B282" t="inlineStr">
        <is>
          <t>Number of Flowers in Full Bloom</t>
        </is>
      </c>
      <c r="C282">
        <f>HYPERLINK("https://leetcode.com/problems/number-of-flowers-in-full-bloom/description/","number-of-flowers-in-full-bloom")</f>
        <v/>
      </c>
      <c r="D282" t="inlineStr">
        <is>
          <t>-</t>
        </is>
      </c>
      <c r="E282" t="inlineStr">
        <is>
          <t>Hard</t>
        </is>
      </c>
      <c r="F282" t="n">
        <v>6</v>
      </c>
      <c r="G282" t="inlineStr">
        <is>
          <t>Prefix Sum</t>
        </is>
      </c>
      <c r="H282" t="inlineStr">
        <is>
          <t>Line Sweep</t>
        </is>
      </c>
      <c r="I282" t="inlineStr">
        <is>
          <t>Leetcode</t>
        </is>
      </c>
      <c r="J282" t="inlineStr">
        <is>
          <t>Problem</t>
        </is>
      </c>
    </row>
    <row r="283">
      <c r="A283" t="n">
        <v>94</v>
      </c>
      <c r="B283" t="inlineStr">
        <is>
          <t>Convert 1D Array Into 2D Array</t>
        </is>
      </c>
      <c r="C283">
        <f>HYPERLINK("https://leetcode.com/problems/convert-1d-array-into-2d-array/description/","convert-1d-array-into-2d-array")</f>
        <v/>
      </c>
      <c r="D283">
        <f>HYPERLINK("https://read.learnyard.com/dsa/convert-1d-array-into-2d-array/","Read Article")</f>
        <v/>
      </c>
      <c r="E283" t="inlineStr">
        <is>
          <t>Easy</t>
        </is>
      </c>
      <c r="F283" t="n">
        <v>7</v>
      </c>
      <c r="G283" t="inlineStr">
        <is>
          <t>Matrix</t>
        </is>
      </c>
      <c r="H283" t="inlineStr">
        <is>
          <t>Matrix Transformation and Modification</t>
        </is>
      </c>
      <c r="I283" t="inlineStr">
        <is>
          <t>Leetcode</t>
        </is>
      </c>
      <c r="J283" t="inlineStr">
        <is>
          <t>Problem</t>
        </is>
      </c>
    </row>
    <row r="284">
      <c r="A284" t="n">
        <v>534</v>
      </c>
      <c r="B284" t="inlineStr">
        <is>
          <t>Modify the Matrix</t>
        </is>
      </c>
      <c r="C284">
        <f>HYPERLINK("https://leetcode.com/problems/modify-the-matrix/description/","modify-the-matrix")</f>
        <v/>
      </c>
      <c r="D284">
        <f>HYPERLINK("https://read.learnyard.com/dsa/modify-the-matrix/","Read Article")</f>
        <v/>
      </c>
      <c r="E284" t="inlineStr">
        <is>
          <t>Easy</t>
        </is>
      </c>
      <c r="F284" t="n">
        <v>7</v>
      </c>
      <c r="G284" t="inlineStr">
        <is>
          <t>Matrix</t>
        </is>
      </c>
      <c r="H284" t="inlineStr">
        <is>
          <t>Matrix Transformation and Modification</t>
        </is>
      </c>
      <c r="I284" t="inlineStr">
        <is>
          <t>Leetcode</t>
        </is>
      </c>
      <c r="J284" t="inlineStr">
        <is>
          <t>Problem</t>
        </is>
      </c>
    </row>
    <row r="285">
      <c r="A285" t="n">
        <v>1059</v>
      </c>
      <c r="B285" t="inlineStr">
        <is>
          <t>Set Matrix Zeroes</t>
        </is>
      </c>
      <c r="C285">
        <f>HYPERLINK("https://leetcode.com/problems/set-matrix-zeroes","set-matrix-zeroes")</f>
        <v/>
      </c>
      <c r="D285">
        <f>HYPERLINK("https://read.learnyard.com/dsa/set-matrix-zeroes/","Read Article")</f>
        <v/>
      </c>
      <c r="E285" t="inlineStr">
        <is>
          <t>Medium</t>
        </is>
      </c>
      <c r="F285" t="n">
        <v>7</v>
      </c>
      <c r="G285" t="inlineStr">
        <is>
          <t>Matrix</t>
        </is>
      </c>
      <c r="H285" t="inlineStr">
        <is>
          <t>Matrix Transformation and Modification</t>
        </is>
      </c>
      <c r="I285" t="inlineStr">
        <is>
          <t>Leetcode</t>
        </is>
      </c>
      <c r="J285" t="inlineStr">
        <is>
          <t>Problem</t>
        </is>
      </c>
    </row>
    <row r="286">
      <c r="A286" t="n">
        <v>1060</v>
      </c>
      <c r="B286" t="inlineStr">
        <is>
          <t>Sort the Matrix Diagonally</t>
        </is>
      </c>
      <c r="C286">
        <f>HYPERLINK("https://leetcode.com/problems/sort-the-matrix-diagonally","sort-the-matrix-diagonally")</f>
        <v/>
      </c>
      <c r="D286" t="inlineStr">
        <is>
          <t>-</t>
        </is>
      </c>
      <c r="E286" t="inlineStr">
        <is>
          <t>Medium</t>
        </is>
      </c>
      <c r="F286" t="n">
        <v>7</v>
      </c>
      <c r="G286" t="inlineStr">
        <is>
          <t>Matrix</t>
        </is>
      </c>
      <c r="H286" t="inlineStr">
        <is>
          <t>Matrix Transformation and Modification</t>
        </is>
      </c>
      <c r="I286" t="inlineStr">
        <is>
          <t>Leetcode</t>
        </is>
      </c>
      <c r="J286" t="inlineStr">
        <is>
          <t>Problem</t>
        </is>
      </c>
    </row>
    <row r="287">
      <c r="A287" t="n">
        <v>873</v>
      </c>
      <c r="B287" t="inlineStr">
        <is>
          <t>Minimum Operations to Write the Letter Y on a Grid</t>
        </is>
      </c>
      <c r="C287">
        <f>HYPERLINK("https://leetcode.com/problems/minimum-operations-to-write-the-letter-y-on-a-grid/description/","minimum-operations-to-write-the-letter-y-on-a-grid")</f>
        <v/>
      </c>
      <c r="D287" t="inlineStr">
        <is>
          <t>-</t>
        </is>
      </c>
      <c r="E287" t="inlineStr">
        <is>
          <t>Medium</t>
        </is>
      </c>
      <c r="F287" t="n">
        <v>7</v>
      </c>
      <c r="G287" t="inlineStr">
        <is>
          <t>Matrix</t>
        </is>
      </c>
      <c r="H287" t="inlineStr">
        <is>
          <t>Matrix Transformation and Modification</t>
        </is>
      </c>
      <c r="I287" t="inlineStr">
        <is>
          <t>Leetcode</t>
        </is>
      </c>
      <c r="J287" t="inlineStr">
        <is>
          <t>Problem</t>
        </is>
      </c>
    </row>
    <row r="288">
      <c r="A288" t="n">
        <v>678</v>
      </c>
      <c r="B288" t="inlineStr">
        <is>
          <t>Shift 2D Grid</t>
        </is>
      </c>
      <c r="C288">
        <f>HYPERLINK("https://leetcode.com/problems/shift-2d-grid","shift-2d-grid")</f>
        <v/>
      </c>
      <c r="D288" t="inlineStr">
        <is>
          <t>-</t>
        </is>
      </c>
      <c r="E288" t="inlineStr">
        <is>
          <t>Easy</t>
        </is>
      </c>
      <c r="F288" t="n">
        <v>7</v>
      </c>
      <c r="G288" t="inlineStr">
        <is>
          <t>Matrix</t>
        </is>
      </c>
      <c r="H288" t="inlineStr">
        <is>
          <t>Matrix Transformation and Modification</t>
        </is>
      </c>
      <c r="I288" t="inlineStr">
        <is>
          <t>Leetcode</t>
        </is>
      </c>
      <c r="J288" t="inlineStr">
        <is>
          <t>Problem</t>
        </is>
      </c>
    </row>
    <row r="289">
      <c r="A289" t="n">
        <v>300</v>
      </c>
      <c r="B289" t="inlineStr">
        <is>
          <t>Matrix Similarity After Cyclic Shifts</t>
        </is>
      </c>
      <c r="C289">
        <f>HYPERLINK("https://leetcode.com/problems/matrix-similarity-after-cyclic-shifts/description/","matrix-similarity-after-cyclic-shifts")</f>
        <v/>
      </c>
      <c r="D289" t="inlineStr">
        <is>
          <t>-</t>
        </is>
      </c>
      <c r="E289" t="inlineStr">
        <is>
          <t>Easy</t>
        </is>
      </c>
      <c r="F289" t="n">
        <v>7</v>
      </c>
      <c r="G289" t="inlineStr">
        <is>
          <t>Matrix</t>
        </is>
      </c>
      <c r="H289" t="inlineStr">
        <is>
          <t>Matrix Transformation and Modification</t>
        </is>
      </c>
      <c r="I289" t="inlineStr">
        <is>
          <t>Leetcode</t>
        </is>
      </c>
      <c r="J289" t="inlineStr">
        <is>
          <t>Problem</t>
        </is>
      </c>
    </row>
    <row r="290">
      <c r="A290" t="n">
        <v>750</v>
      </c>
      <c r="B290" t="inlineStr">
        <is>
          <t>Transpose Matrix</t>
        </is>
      </c>
      <c r="C290">
        <f>HYPERLINK("https://leetcode.com/problems/transpose-matrix","transpose-matrix")</f>
        <v/>
      </c>
      <c r="D290">
        <f>HYPERLINK("https://read.learnyard.com/dsa/transpose-matrix/","Read Article")</f>
        <v/>
      </c>
      <c r="E290" t="inlineStr">
        <is>
          <t>Easy</t>
        </is>
      </c>
      <c r="F290" t="n">
        <v>7</v>
      </c>
      <c r="G290" t="inlineStr">
        <is>
          <t>Matrix</t>
        </is>
      </c>
      <c r="H290" t="inlineStr">
        <is>
          <t>Matrix Transformation and Modification</t>
        </is>
      </c>
      <c r="I290" t="inlineStr">
        <is>
          <t>Leetcode</t>
        </is>
      </c>
      <c r="J290" t="inlineStr">
        <is>
          <t>Problem</t>
        </is>
      </c>
    </row>
    <row r="291">
      <c r="A291" t="n">
        <v>874</v>
      </c>
      <c r="B291" t="inlineStr">
        <is>
          <t>Rotate Image</t>
        </is>
      </c>
      <c r="C291">
        <f>HYPERLINK("https://leetcode.com/problems/rotate-image/","rotate-image")</f>
        <v/>
      </c>
      <c r="D291">
        <f>HYPERLINK("https://read.learnyard.com/dsa/rotate-image","Read Article")</f>
        <v/>
      </c>
      <c r="E291" t="inlineStr">
        <is>
          <t>Medium</t>
        </is>
      </c>
      <c r="F291" t="n">
        <v>7</v>
      </c>
      <c r="G291" t="inlineStr">
        <is>
          <t>Matrix</t>
        </is>
      </c>
      <c r="H291" t="inlineStr">
        <is>
          <t>Matrix Transformation and Modification</t>
        </is>
      </c>
      <c r="I291" t="inlineStr">
        <is>
          <t>Leetcode</t>
        </is>
      </c>
      <c r="J291" t="inlineStr">
        <is>
          <t>Problem</t>
        </is>
      </c>
    </row>
    <row r="292">
      <c r="A292" t="n">
        <v>664</v>
      </c>
      <c r="B292" t="inlineStr">
        <is>
          <t>Rotating the Box</t>
        </is>
      </c>
      <c r="C292">
        <f>HYPERLINK("https://leetcode.com/problems/rotating-the-box","rotating-the-box")</f>
        <v/>
      </c>
      <c r="D292" t="inlineStr">
        <is>
          <t>-</t>
        </is>
      </c>
      <c r="E292" t="inlineStr">
        <is>
          <t>Medium</t>
        </is>
      </c>
      <c r="F292" t="n">
        <v>7</v>
      </c>
      <c r="G292" t="inlineStr">
        <is>
          <t>Matrix</t>
        </is>
      </c>
      <c r="H292" t="inlineStr">
        <is>
          <t>Matrix Transformation and Modification</t>
        </is>
      </c>
      <c r="I292" t="inlineStr">
        <is>
          <t>Leetcode</t>
        </is>
      </c>
      <c r="J292" t="inlineStr">
        <is>
          <t>Problem</t>
        </is>
      </c>
    </row>
    <row r="293">
      <c r="A293" t="n">
        <v>498</v>
      </c>
      <c r="B293" t="inlineStr">
        <is>
          <t>Cyclically Rotating a Grid</t>
        </is>
      </c>
      <c r="C293">
        <f>HYPERLINK("https://leetcode.com/problems/cyclically-rotating-a-grid","cyclically-rotating-a-grid")</f>
        <v/>
      </c>
      <c r="D293" t="inlineStr">
        <is>
          <t>-</t>
        </is>
      </c>
      <c r="E293" t="inlineStr">
        <is>
          <t>Medium</t>
        </is>
      </c>
      <c r="F293" t="n">
        <v>7</v>
      </c>
      <c r="G293" t="inlineStr">
        <is>
          <t>Matrix</t>
        </is>
      </c>
      <c r="H293" t="inlineStr">
        <is>
          <t>Matrix Transformation and Modification</t>
        </is>
      </c>
      <c r="I293" t="inlineStr">
        <is>
          <t>Leetcode</t>
        </is>
      </c>
      <c r="J293" t="inlineStr">
        <is>
          <t>Problem</t>
        </is>
      </c>
    </row>
    <row r="294">
      <c r="A294" t="n">
        <v>864</v>
      </c>
      <c r="B294" t="inlineStr">
        <is>
          <t>Game of Life</t>
        </is>
      </c>
      <c r="C294">
        <f>HYPERLINK("https://leetcode.com/problems/game-of-life","game-of-life")</f>
        <v/>
      </c>
      <c r="D294" t="inlineStr">
        <is>
          <t>-</t>
        </is>
      </c>
      <c r="E294" t="inlineStr">
        <is>
          <t>Medium</t>
        </is>
      </c>
      <c r="F294" t="n">
        <v>7</v>
      </c>
      <c r="G294" t="inlineStr">
        <is>
          <t>Matrix</t>
        </is>
      </c>
      <c r="H294" t="inlineStr">
        <is>
          <t>Matrix Transformation and Modification</t>
        </is>
      </c>
      <c r="I294" t="inlineStr">
        <is>
          <t>Leetcode</t>
        </is>
      </c>
      <c r="J294" t="inlineStr">
        <is>
          <t>Problem</t>
        </is>
      </c>
    </row>
    <row r="295">
      <c r="A295" t="n">
        <v>298</v>
      </c>
      <c r="B295" t="inlineStr">
        <is>
          <t>Matrix Cells in Distance Order</t>
        </is>
      </c>
      <c r="C295">
        <f>HYPERLINK("https://leetcode.com/problems/matrix-cells-in-distance-order","matrix-cells-in-distance-order")</f>
        <v/>
      </c>
      <c r="D295" t="inlineStr">
        <is>
          <t>-</t>
        </is>
      </c>
      <c r="E295" t="inlineStr">
        <is>
          <t>Easy</t>
        </is>
      </c>
      <c r="F295" t="n">
        <v>7</v>
      </c>
      <c r="G295" t="inlineStr">
        <is>
          <t>Matrix</t>
        </is>
      </c>
      <c r="H295" t="inlineStr">
        <is>
          <t>Matrix Transformation and Modification</t>
        </is>
      </c>
      <c r="I295" t="inlineStr">
        <is>
          <t>Leetcode</t>
        </is>
      </c>
      <c r="J295" t="inlineStr">
        <is>
          <t>Problem</t>
        </is>
      </c>
    </row>
    <row r="296">
      <c r="A296" t="n">
        <v>197</v>
      </c>
      <c r="B296" t="inlineStr">
        <is>
          <t>Find Valid Matrix Given Row and Column Sums</t>
        </is>
      </c>
      <c r="C296">
        <f>HYPERLINK("https://leetcode.com/problems/find-valid-matrix-given-row-and-column-sums","find-valid-matrix-given-row-and-column-sums")</f>
        <v/>
      </c>
      <c r="D296" t="inlineStr">
        <is>
          <t>-</t>
        </is>
      </c>
      <c r="E296" t="inlineStr">
        <is>
          <t>Medium</t>
        </is>
      </c>
      <c r="F296" t="n">
        <v>7</v>
      </c>
      <c r="G296" t="inlineStr">
        <is>
          <t>Matrix</t>
        </is>
      </c>
      <c r="H296" t="inlineStr">
        <is>
          <t>Matrix Patterns and Validity Checks</t>
        </is>
      </c>
      <c r="I296" t="inlineStr">
        <is>
          <t>Leetcode</t>
        </is>
      </c>
      <c r="J296" t="inlineStr">
        <is>
          <t>Problem</t>
        </is>
      </c>
    </row>
    <row r="297">
      <c r="A297" t="n">
        <v>74</v>
      </c>
      <c r="B297" t="inlineStr">
        <is>
          <t>Check if Matrix is X-Matrix</t>
        </is>
      </c>
      <c r="C297">
        <f>HYPERLINK("https://leetcode.com/problems/check-if-matrix-is-x-matrix/description/","check-if-matrix-is-x-matrix")</f>
        <v/>
      </c>
      <c r="D297">
        <f>HYPERLINK("https://read.learnyard.com/dsa/check-if-matrix-if-x-matrix/","Read Article")</f>
        <v/>
      </c>
      <c r="E297" t="inlineStr">
        <is>
          <t>Easy</t>
        </is>
      </c>
      <c r="F297" t="n">
        <v>7</v>
      </c>
      <c r="G297" t="inlineStr">
        <is>
          <t>Matrix</t>
        </is>
      </c>
      <c r="H297" t="inlineStr">
        <is>
          <t>Matrix Patterns and Validity Checks</t>
        </is>
      </c>
      <c r="I297" t="inlineStr">
        <is>
          <t>Leetcode</t>
        </is>
      </c>
      <c r="J297" t="inlineStr">
        <is>
          <t>Problem</t>
        </is>
      </c>
    </row>
    <row r="298">
      <c r="A298" t="n">
        <v>613</v>
      </c>
      <c r="B298" t="inlineStr">
        <is>
          <t>Queens That Can Attack the King</t>
        </is>
      </c>
      <c r="C298">
        <f>HYPERLINK("https://leetcode.com/problems/queens-that-can-attack-the-king/description/","queens-that-can-attack-the-king")</f>
        <v/>
      </c>
      <c r="D298">
        <f>HYPERLINK("https://read.learnyard.com/dsa/queens-that-can-attack-the-king-solution/","Read Article")</f>
        <v/>
      </c>
      <c r="E298" t="inlineStr">
        <is>
          <t>Medium</t>
        </is>
      </c>
      <c r="F298" t="n">
        <v>7</v>
      </c>
      <c r="G298" t="inlineStr">
        <is>
          <t>Matrix</t>
        </is>
      </c>
      <c r="H298" t="inlineStr">
        <is>
          <t>Matrix Patterns and Validity Checks</t>
        </is>
      </c>
      <c r="I298" t="inlineStr">
        <is>
          <t>Leetcode</t>
        </is>
      </c>
      <c r="J298" t="inlineStr">
        <is>
          <t>Problem</t>
        </is>
      </c>
    </row>
    <row r="299">
      <c r="A299" t="n">
        <v>303</v>
      </c>
      <c r="B299" t="inlineStr">
        <is>
          <t>Max Increase to Keep City Skyline</t>
        </is>
      </c>
      <c r="C299">
        <f>HYPERLINK("https://leetcode.com/problems/max-increase-to-keep-city-skyline","max-increase-to-keep-city-skyline")</f>
        <v/>
      </c>
      <c r="D299" t="inlineStr">
        <is>
          <t>-</t>
        </is>
      </c>
      <c r="E299" t="inlineStr">
        <is>
          <t>Medium</t>
        </is>
      </c>
      <c r="F299" t="n">
        <v>7</v>
      </c>
      <c r="G299" t="inlineStr">
        <is>
          <t>Matrix</t>
        </is>
      </c>
      <c r="H299" t="inlineStr">
        <is>
          <t>Matrix Patterns and Validity Checks</t>
        </is>
      </c>
      <c r="I299" t="inlineStr">
        <is>
          <t>Leetcode</t>
        </is>
      </c>
      <c r="J299" t="inlineStr">
        <is>
          <t>Problem</t>
        </is>
      </c>
    </row>
    <row r="300">
      <c r="A300" t="n">
        <v>293</v>
      </c>
      <c r="B300" t="inlineStr">
        <is>
          <t>Make a Square with the Same Color</t>
        </is>
      </c>
      <c r="C300">
        <f>HYPERLINK("https://leetcode.com/problems/make-a-square-with-the-same-color/description/","make-a-square-with-the-same-color")</f>
        <v/>
      </c>
      <c r="D300" t="inlineStr">
        <is>
          <t>-</t>
        </is>
      </c>
      <c r="E300" t="inlineStr">
        <is>
          <t>Easy</t>
        </is>
      </c>
      <c r="F300" t="n">
        <v>7</v>
      </c>
      <c r="G300" t="inlineStr">
        <is>
          <t>Matrix</t>
        </is>
      </c>
      <c r="H300" t="inlineStr">
        <is>
          <t>Matrix Patterns and Validity Checks</t>
        </is>
      </c>
      <c r="I300" t="inlineStr">
        <is>
          <t>Leetcode</t>
        </is>
      </c>
      <c r="J300" t="inlineStr">
        <is>
          <t>Problem</t>
        </is>
      </c>
    </row>
    <row r="301">
      <c r="A301" t="n">
        <v>870</v>
      </c>
      <c r="B301" t="inlineStr">
        <is>
          <t>Subrectangle Queries</t>
        </is>
      </c>
      <c r="C301">
        <f>HYPERLINK("https://leetcode.com/problems/subrectangle-queries/","subrectangle-queries")</f>
        <v/>
      </c>
      <c r="D301" t="inlineStr">
        <is>
          <t>-</t>
        </is>
      </c>
      <c r="E301" t="inlineStr">
        <is>
          <t>Easy</t>
        </is>
      </c>
      <c r="F301" t="n">
        <v>7</v>
      </c>
      <c r="G301" t="inlineStr">
        <is>
          <t>Matrix</t>
        </is>
      </c>
      <c r="H301" t="inlineStr">
        <is>
          <t>Matrix Patterns and Validity Checks</t>
        </is>
      </c>
      <c r="I301" t="inlineStr">
        <is>
          <t>Leetcode</t>
        </is>
      </c>
      <c r="J301" t="inlineStr">
        <is>
          <t>Problem</t>
        </is>
      </c>
    </row>
    <row r="302">
      <c r="A302" t="n">
        <v>119</v>
      </c>
      <c r="B302" t="inlineStr">
        <is>
          <t>Count Submatrices with Top-Left Element and Sum Less Than k</t>
        </is>
      </c>
      <c r="C302">
        <f>HYPERLINK("https://leetcode.com/problems/count-submatrices-with-top-left-element-and-sum-less-than-k","count-submatrices-with-top-left-element-and-sum-less-than-k")</f>
        <v/>
      </c>
      <c r="D302" t="inlineStr">
        <is>
          <t>-</t>
        </is>
      </c>
      <c r="E302" t="inlineStr">
        <is>
          <t>Medium</t>
        </is>
      </c>
      <c r="F302" t="n">
        <v>7</v>
      </c>
      <c r="G302" t="inlineStr">
        <is>
          <t>Matrix</t>
        </is>
      </c>
      <c r="H302" t="inlineStr">
        <is>
          <t>Matrix Patterns and Validity Checks</t>
        </is>
      </c>
      <c r="I302" t="inlineStr">
        <is>
          <t>Leetcode</t>
        </is>
      </c>
      <c r="J302" t="inlineStr">
        <is>
          <t>Problem</t>
        </is>
      </c>
    </row>
    <row r="303">
      <c r="A303" t="n">
        <v>190</v>
      </c>
      <c r="B303" t="inlineStr">
        <is>
          <t>Find the Minimum Area to Cover All Ones I</t>
        </is>
      </c>
      <c r="C303">
        <f>HYPERLINK("https://leetcode.com/problems/find-the-minimum-area-to-cover-all-ones-i","find-the-minimum-area-to-cover-all-ones-i")</f>
        <v/>
      </c>
      <c r="D303" t="inlineStr">
        <is>
          <t>-</t>
        </is>
      </c>
      <c r="E303" t="inlineStr">
        <is>
          <t>Medium</t>
        </is>
      </c>
      <c r="F303" t="n">
        <v>7</v>
      </c>
      <c r="G303" t="inlineStr">
        <is>
          <t>Matrix</t>
        </is>
      </c>
      <c r="H303" t="inlineStr">
        <is>
          <t>Matrix Patterns and Validity Checks</t>
        </is>
      </c>
      <c r="I303" t="inlineStr">
        <is>
          <t>Leetcode</t>
        </is>
      </c>
      <c r="J303" t="inlineStr">
        <is>
          <t>Problem</t>
        </is>
      </c>
    </row>
    <row r="304">
      <c r="A304" t="n">
        <v>191</v>
      </c>
      <c r="B304" t="inlineStr">
        <is>
          <t>Find the Minimum Area to Cover All Ones II</t>
        </is>
      </c>
      <c r="C304">
        <f>HYPERLINK("https://leetcode.com/problems/find-the-minimum-area-to-cover-all-ones-ii","find-the-minimum-area-to-cover-all-ones-ii")</f>
        <v/>
      </c>
      <c r="D304" t="inlineStr">
        <is>
          <t>-</t>
        </is>
      </c>
      <c r="E304" t="inlineStr">
        <is>
          <t>Hard</t>
        </is>
      </c>
      <c r="F304" t="n">
        <v>7</v>
      </c>
      <c r="G304" t="inlineStr">
        <is>
          <t>Matrix</t>
        </is>
      </c>
      <c r="H304" t="inlineStr">
        <is>
          <t>Matrix Patterns and Validity Checks</t>
        </is>
      </c>
      <c r="I304" t="inlineStr">
        <is>
          <t>Leetcode</t>
        </is>
      </c>
      <c r="J304" t="inlineStr">
        <is>
          <t>Problem</t>
        </is>
      </c>
    </row>
    <row r="305">
      <c r="A305" t="n">
        <v>769</v>
      </c>
      <c r="B305" t="inlineStr">
        <is>
          <t>Valid Sudoku</t>
        </is>
      </c>
      <c r="C305">
        <f>HYPERLINK("https://leetcode.com/problems/valid-sudoku","valid-sudoku")</f>
        <v/>
      </c>
      <c r="D305" t="inlineStr">
        <is>
          <t>-</t>
        </is>
      </c>
      <c r="E305" t="inlineStr">
        <is>
          <t>Medium</t>
        </is>
      </c>
      <c r="F305" t="n">
        <v>7</v>
      </c>
      <c r="G305" t="inlineStr">
        <is>
          <t>Matrix</t>
        </is>
      </c>
      <c r="H305" t="inlineStr">
        <is>
          <t>Matrix Patterns and Validity Checks</t>
        </is>
      </c>
      <c r="I305" t="inlineStr">
        <is>
          <t>Leetcode</t>
        </is>
      </c>
      <c r="J305" t="inlineStr">
        <is>
          <t>Problem</t>
        </is>
      </c>
    </row>
    <row r="306">
      <c r="A306" t="n">
        <v>448</v>
      </c>
      <c r="B306" t="inlineStr">
        <is>
          <t>Check if Move is Legal</t>
        </is>
      </c>
      <c r="C306">
        <f>HYPERLINK("https://leetcode.com/problems/check-if-move-is-legal","check-if-move-is-legal")</f>
        <v/>
      </c>
      <c r="D306" t="inlineStr">
        <is>
          <t>-</t>
        </is>
      </c>
      <c r="E306" t="inlineStr">
        <is>
          <t>Medium</t>
        </is>
      </c>
      <c r="F306" t="n">
        <v>7</v>
      </c>
      <c r="G306" t="inlineStr">
        <is>
          <t>Matrix</t>
        </is>
      </c>
      <c r="H306" t="inlineStr">
        <is>
          <t>Matrix Patterns and Validity Checks</t>
        </is>
      </c>
      <c r="I306" t="inlineStr">
        <is>
          <t>Leetcode</t>
        </is>
      </c>
      <c r="J306" t="inlineStr">
        <is>
          <t>Problem</t>
        </is>
      </c>
    </row>
    <row r="307">
      <c r="A307" t="n">
        <v>770</v>
      </c>
      <c r="B307" t="inlineStr">
        <is>
          <t>Valid Tic-Tac-Toe State</t>
        </is>
      </c>
      <c r="C307">
        <f>HYPERLINK("https://leetcode.com/problems/valid-tic-tac-toe-state","valid-tic-tac-toe-state")</f>
        <v/>
      </c>
      <c r="D307" t="inlineStr">
        <is>
          <t>-</t>
        </is>
      </c>
      <c r="E307" t="inlineStr">
        <is>
          <t>Medium</t>
        </is>
      </c>
      <c r="F307" t="n">
        <v>7</v>
      </c>
      <c r="G307" t="inlineStr">
        <is>
          <t>Matrix</t>
        </is>
      </c>
      <c r="H307" t="inlineStr">
        <is>
          <t>Matrix Patterns and Validity Checks</t>
        </is>
      </c>
      <c r="I307" t="inlineStr">
        <is>
          <t>Leetcode</t>
        </is>
      </c>
      <c r="J307" t="inlineStr">
        <is>
          <t>Problem</t>
        </is>
      </c>
    </row>
    <row r="308">
      <c r="A308" t="n">
        <v>559</v>
      </c>
      <c r="B308" t="inlineStr">
        <is>
          <t>Number of Laser Beams in a Bank</t>
        </is>
      </c>
      <c r="C308">
        <f>HYPERLINK("https://leetcode.com/problems/number-of-laser-beams-in-a-bank","number-of-laser-beams-in-a-bank")</f>
        <v/>
      </c>
      <c r="D308" t="inlineStr">
        <is>
          <t>-</t>
        </is>
      </c>
      <c r="E308" t="inlineStr">
        <is>
          <t>Medium</t>
        </is>
      </c>
      <c r="F308" t="n">
        <v>7</v>
      </c>
      <c r="G308" t="inlineStr">
        <is>
          <t>Matrix</t>
        </is>
      </c>
      <c r="H308" t="inlineStr">
        <is>
          <t>Matrix Patterns and Validity Checks</t>
        </is>
      </c>
      <c r="I308" t="inlineStr">
        <is>
          <t>Leetcode</t>
        </is>
      </c>
      <c r="J308" t="inlineStr">
        <is>
          <t>Problem</t>
        </is>
      </c>
    </row>
    <row r="309">
      <c r="A309" t="n">
        <v>777</v>
      </c>
      <c r="B309" t="inlineStr">
        <is>
          <t>Where Will the Ball Fall</t>
        </is>
      </c>
      <c r="C309">
        <f>HYPERLINK("https://leetcode.com/problems/where-will-the-ball-fall","where-will-the-ball-fall")</f>
        <v/>
      </c>
      <c r="D309" t="inlineStr">
        <is>
          <t>-</t>
        </is>
      </c>
      <c r="E309" t="inlineStr">
        <is>
          <t>Medium</t>
        </is>
      </c>
      <c r="F309" t="n">
        <v>7</v>
      </c>
      <c r="G309" t="inlineStr">
        <is>
          <t>Matrix</t>
        </is>
      </c>
      <c r="H309" t="inlineStr">
        <is>
          <t>Matrix Patterns and Validity Checks</t>
        </is>
      </c>
      <c r="I309" t="inlineStr">
        <is>
          <t>Leetcode</t>
        </is>
      </c>
      <c r="J309" t="inlineStr">
        <is>
          <t>Problem</t>
        </is>
      </c>
    </row>
    <row r="310">
      <c r="A310" t="n">
        <v>847</v>
      </c>
      <c r="B310" t="inlineStr">
        <is>
          <t>Image Overlap</t>
        </is>
      </c>
      <c r="C310">
        <f>HYPERLINK("https://leetcode.com/problems/image-overlap","image-overlap")</f>
        <v/>
      </c>
      <c r="D310" t="inlineStr">
        <is>
          <t>-</t>
        </is>
      </c>
      <c r="E310" t="inlineStr">
        <is>
          <t>Medium</t>
        </is>
      </c>
      <c r="F310" t="n">
        <v>7</v>
      </c>
      <c r="G310" t="inlineStr">
        <is>
          <t>Matrix</t>
        </is>
      </c>
      <c r="H310" t="inlineStr">
        <is>
          <t>Matrix Patterns and Validity Checks</t>
        </is>
      </c>
      <c r="I310" t="inlineStr">
        <is>
          <t>Leetcode</t>
        </is>
      </c>
      <c r="J310" t="inlineStr">
        <is>
          <t>Problem</t>
        </is>
      </c>
    </row>
    <row r="311">
      <c r="A311" t="n">
        <v>406</v>
      </c>
      <c r="B311" t="inlineStr">
        <is>
          <t>Minimum Operations to Make a Uni-Value Grid</t>
        </is>
      </c>
      <c r="C311">
        <f>HYPERLINK("https://leetcode.com/problems/minimum-operations-to-make-a-uni-value-grid","minimum-operations-to-make-a-uni-value-grid")</f>
        <v/>
      </c>
      <c r="D311" t="inlineStr">
        <is>
          <t>-</t>
        </is>
      </c>
      <c r="E311" t="inlineStr">
        <is>
          <t>Medium</t>
        </is>
      </c>
      <c r="F311" t="n">
        <v>7</v>
      </c>
      <c r="G311" t="inlineStr">
        <is>
          <t>Matrix</t>
        </is>
      </c>
      <c r="H311" t="inlineStr">
        <is>
          <t>Matrix Patterns and Validity Checks</t>
        </is>
      </c>
      <c r="I311" t="inlineStr">
        <is>
          <t>Leetcode</t>
        </is>
      </c>
      <c r="J311" t="inlineStr">
        <is>
          <t>Problem</t>
        </is>
      </c>
    </row>
    <row r="312">
      <c r="A312" t="n">
        <v>665</v>
      </c>
      <c r="B312" t="inlineStr">
        <is>
          <t>Row With Maximum Ones</t>
        </is>
      </c>
      <c r="C312">
        <f>HYPERLINK("https://leetcode.com/problems/row-with-maximum-ones","row-with-maximum-ones")</f>
        <v/>
      </c>
      <c r="D312">
        <f>HYPERLINK("https://read.learnyard.com/dsa/row-with-maximum-ones/","Read Article")</f>
        <v/>
      </c>
      <c r="E312" t="inlineStr">
        <is>
          <t>Easy</t>
        </is>
      </c>
      <c r="F312" t="n">
        <v>7</v>
      </c>
      <c r="G312" t="inlineStr">
        <is>
          <t>Matrix</t>
        </is>
      </c>
      <c r="H312" t="inlineStr">
        <is>
          <t>Matrix Traversal and Summation</t>
        </is>
      </c>
      <c r="I312" t="inlineStr">
        <is>
          <t>Leetcode</t>
        </is>
      </c>
      <c r="J312" t="inlineStr">
        <is>
          <t>Problem</t>
        </is>
      </c>
    </row>
    <row r="313">
      <c r="A313" t="n">
        <v>662</v>
      </c>
      <c r="B313" t="inlineStr">
        <is>
          <t>Richest Customer Wealth</t>
        </is>
      </c>
      <c r="C313">
        <f>HYPERLINK("https://leetcode.com/problems/richest-customer-wealth/description/","richest-customer-wealth")</f>
        <v/>
      </c>
      <c r="D313">
        <f>HYPERLINK("https://read.learnyard.com/dsa/richest-customer-wealth/","Read Article")</f>
        <v/>
      </c>
      <c r="E313" t="inlineStr">
        <is>
          <t>Easy</t>
        </is>
      </c>
      <c r="F313" t="n">
        <v>7</v>
      </c>
      <c r="G313" t="inlineStr">
        <is>
          <t>Matrix</t>
        </is>
      </c>
      <c r="H313" t="inlineStr">
        <is>
          <t>Matrix Traversal and Summation</t>
        </is>
      </c>
      <c r="I313" t="inlineStr">
        <is>
          <t>Leetcode</t>
        </is>
      </c>
      <c r="J313" t="inlineStr">
        <is>
          <t>Problem</t>
        </is>
      </c>
    </row>
    <row r="314">
      <c r="A314" t="n">
        <v>275</v>
      </c>
      <c r="B314" t="inlineStr">
        <is>
          <t>Lucky Numbers in a Matrix</t>
        </is>
      </c>
      <c r="C314">
        <f>HYPERLINK("https://leetcode.com/problems/lucky-numbers-in-a-matrix/description/","lucky-numbers-in-a-matrix")</f>
        <v/>
      </c>
      <c r="D314">
        <f>HYPERLINK("https://read.learnyard.com/dsa/lucky-number-in-a-matrix/","Read Article")</f>
        <v/>
      </c>
      <c r="E314" t="inlineStr">
        <is>
          <t>Easy</t>
        </is>
      </c>
      <c r="F314" t="n">
        <v>7</v>
      </c>
      <c r="G314" t="inlineStr">
        <is>
          <t>Matrix</t>
        </is>
      </c>
      <c r="H314" t="inlineStr">
        <is>
          <t>Matrix Traversal and Summation</t>
        </is>
      </c>
      <c r="I314" t="inlineStr">
        <is>
          <t>Leetcode</t>
        </is>
      </c>
      <c r="J314" t="inlineStr">
        <is>
          <t>Problem</t>
        </is>
      </c>
    </row>
    <row r="315">
      <c r="A315" t="n">
        <v>281</v>
      </c>
      <c r="B315" t="inlineStr">
        <is>
          <t>Equal Row and Column Pairs</t>
        </is>
      </c>
      <c r="C315">
        <f>HYPERLINK("https://leetcode.com/problems/equal-row-and-column-pairs/description/","equal-row-and-column-pairs")</f>
        <v/>
      </c>
      <c r="D315" t="inlineStr">
        <is>
          <t>-</t>
        </is>
      </c>
      <c r="E315" t="inlineStr">
        <is>
          <t>Medium</t>
        </is>
      </c>
      <c r="F315" t="n">
        <v>7</v>
      </c>
      <c r="G315" t="inlineStr">
        <is>
          <t>Matrix</t>
        </is>
      </c>
      <c r="H315" t="inlineStr">
        <is>
          <t>Matrix Traversal and Summation</t>
        </is>
      </c>
      <c r="I315" t="inlineStr">
        <is>
          <t>Leetcode</t>
        </is>
      </c>
      <c r="J315" t="inlineStr">
        <is>
          <t>Problem</t>
        </is>
      </c>
    </row>
    <row r="316">
      <c r="A316" t="n">
        <v>140</v>
      </c>
      <c r="B316" t="inlineStr">
        <is>
          <t>Difference Between Ones and Zeros in Row and Column</t>
        </is>
      </c>
      <c r="C316">
        <f>HYPERLINK("https://leetcode.com/problems/difference-between-ones-and-zeros-in-row-and-column","difference-between-ones-and-zeros-in-row-and-column")</f>
        <v/>
      </c>
      <c r="D316" t="inlineStr">
        <is>
          <t>-</t>
        </is>
      </c>
      <c r="E316" t="inlineStr">
        <is>
          <t>Medium</t>
        </is>
      </c>
      <c r="F316" t="n">
        <v>7</v>
      </c>
      <c r="G316" t="inlineStr">
        <is>
          <t>Matrix</t>
        </is>
      </c>
      <c r="H316" t="inlineStr">
        <is>
          <t>Matrix Traversal and Summation</t>
        </is>
      </c>
      <c r="I316" t="inlineStr">
        <is>
          <t>Leetcode</t>
        </is>
      </c>
      <c r="J316" t="inlineStr">
        <is>
          <t>Problem</t>
        </is>
      </c>
    </row>
    <row r="317">
      <c r="A317" t="n">
        <v>299</v>
      </c>
      <c r="B317" t="inlineStr">
        <is>
          <t>Matrix Diagonal Sum</t>
        </is>
      </c>
      <c r="C317">
        <f>HYPERLINK("https://leetcode.com/problems/matrix-diagonal-sum/description/","matrix-diagonal-sum")</f>
        <v/>
      </c>
      <c r="D317">
        <f>HYPERLINK("https://read.learnyard.com/dsa/matrix-diagonal-sum/","Read Article")</f>
        <v/>
      </c>
      <c r="E317" t="inlineStr">
        <is>
          <t>Easy</t>
        </is>
      </c>
      <c r="F317" t="n">
        <v>7</v>
      </c>
      <c r="G317" t="inlineStr">
        <is>
          <t>Matrix</t>
        </is>
      </c>
      <c r="H317" t="inlineStr">
        <is>
          <t>Matrix Traversal and Summation</t>
        </is>
      </c>
      <c r="I317" t="inlineStr">
        <is>
          <t>Leetcode</t>
        </is>
      </c>
      <c r="J317" t="inlineStr">
        <is>
          <t>Problem</t>
        </is>
      </c>
    </row>
    <row r="318">
      <c r="A318" t="n">
        <v>609</v>
      </c>
      <c r="B318" t="inlineStr">
        <is>
          <t>Prime in Diagonal</t>
        </is>
      </c>
      <c r="C318">
        <f>HYPERLINK("https://leetcode.com/problems/prime-in-diagonal/description/","prime-in-diagonal")</f>
        <v/>
      </c>
      <c r="D318">
        <f>HYPERLINK("https://read.learnyard.com/dsa/prime-in-diagonal/","Read Article")</f>
        <v/>
      </c>
      <c r="E318" t="inlineStr">
        <is>
          <t>Easy</t>
        </is>
      </c>
      <c r="F318" t="n">
        <v>7</v>
      </c>
      <c r="G318" t="inlineStr">
        <is>
          <t>Matrix</t>
        </is>
      </c>
      <c r="H318" t="inlineStr">
        <is>
          <t>Matrix Traversal and Summation</t>
        </is>
      </c>
      <c r="I318" t="inlineStr">
        <is>
          <t>Leetcode</t>
        </is>
      </c>
      <c r="J318" t="inlineStr">
        <is>
          <t>Problem</t>
        </is>
      </c>
    </row>
    <row r="319">
      <c r="A319" t="n">
        <v>138</v>
      </c>
      <c r="B319" t="inlineStr">
        <is>
          <t>Diagonal Traverse</t>
        </is>
      </c>
      <c r="C319">
        <f>HYPERLINK("https://leetcode.com/problems/diagonal-traverse","diagonal-traverse")</f>
        <v/>
      </c>
      <c r="D319" t="inlineStr">
        <is>
          <t>-</t>
        </is>
      </c>
      <c r="E319" t="inlineStr">
        <is>
          <t>Medium</t>
        </is>
      </c>
      <c r="F319" t="n">
        <v>7</v>
      </c>
      <c r="G319" t="inlineStr">
        <is>
          <t>Matrix</t>
        </is>
      </c>
      <c r="H319" t="inlineStr">
        <is>
          <t>Matrix Traversal and Summation</t>
        </is>
      </c>
      <c r="I319" t="inlineStr">
        <is>
          <t>Leetcode</t>
        </is>
      </c>
      <c r="J319" t="inlineStr">
        <is>
          <t>Problem</t>
        </is>
      </c>
    </row>
    <row r="320">
      <c r="A320" t="n">
        <v>297</v>
      </c>
      <c r="B320" t="inlineStr">
        <is>
          <t>Matrix Block Sum</t>
        </is>
      </c>
      <c r="C320">
        <f>HYPERLINK("https://leetcode.com/problems/matrix-block-sum/","matrix-block-sum")</f>
        <v/>
      </c>
      <c r="D320" t="inlineStr">
        <is>
          <t>-</t>
        </is>
      </c>
      <c r="E320" t="inlineStr">
        <is>
          <t>Medium</t>
        </is>
      </c>
      <c r="F320" t="n">
        <v>7</v>
      </c>
      <c r="G320" t="inlineStr">
        <is>
          <t>Matrix</t>
        </is>
      </c>
      <c r="H320" t="inlineStr">
        <is>
          <t>Matrix Traversal and Summation</t>
        </is>
      </c>
      <c r="I320" t="inlineStr">
        <is>
          <t>Leetcode</t>
        </is>
      </c>
      <c r="J320" t="inlineStr">
        <is>
          <t>Problem</t>
        </is>
      </c>
    </row>
    <row r="321">
      <c r="A321" t="n">
        <v>479</v>
      </c>
      <c r="B321" t="inlineStr">
        <is>
          <t>Largest Local Values in a Matrix</t>
        </is>
      </c>
      <c r="C321">
        <f>HYPERLINK("https://leetcode.com/problems/largest-local-values-in-a-matrix","largest-local-values-in-a-matrix")</f>
        <v/>
      </c>
      <c r="D321">
        <f>HYPERLINK("https://read.learnyard.com/dsa/largest-local-values-in-a-matrix/","Read Article")</f>
        <v/>
      </c>
      <c r="E321" t="inlineStr">
        <is>
          <t>Easy</t>
        </is>
      </c>
      <c r="F321" t="n">
        <v>7</v>
      </c>
      <c r="G321" t="inlineStr">
        <is>
          <t>Matrix</t>
        </is>
      </c>
      <c r="H321" t="inlineStr">
        <is>
          <t>Matrix Traversal and Summation</t>
        </is>
      </c>
      <c r="I321" t="inlineStr">
        <is>
          <t>Leetcode</t>
        </is>
      </c>
      <c r="J321" t="inlineStr">
        <is>
          <t>Problem</t>
        </is>
      </c>
    </row>
    <row r="322">
      <c r="A322" t="n">
        <v>348</v>
      </c>
      <c r="B322" t="inlineStr">
        <is>
          <t>Maximum Sum of an Hourglass</t>
        </is>
      </c>
      <c r="C322">
        <f>HYPERLINK("https://leetcode.com/problems/maximum-sum-of-an-hourglass","maximum-sum-of-an-hourglass")</f>
        <v/>
      </c>
      <c r="D322" t="inlineStr">
        <is>
          <t>-</t>
        </is>
      </c>
      <c r="E322" t="inlineStr">
        <is>
          <t>Medium</t>
        </is>
      </c>
      <c r="F322" t="n">
        <v>7</v>
      </c>
      <c r="G322" t="inlineStr">
        <is>
          <t>Matrix</t>
        </is>
      </c>
      <c r="H322" t="inlineStr">
        <is>
          <t>Matrix Traversal and Summation</t>
        </is>
      </c>
      <c r="I322" t="inlineStr">
        <is>
          <t>Leetcode</t>
        </is>
      </c>
      <c r="J322" t="inlineStr">
        <is>
          <t>Problem</t>
        </is>
      </c>
    </row>
    <row r="323">
      <c r="A323" t="n">
        <v>323</v>
      </c>
      <c r="B323" t="inlineStr">
        <is>
          <t>Maximum Matrix Sum</t>
        </is>
      </c>
      <c r="C323">
        <f>HYPERLINK("https://leetcode.com/problems/maximum-matrix-sum/description/","maximum-matrix-sum")</f>
        <v/>
      </c>
      <c r="D323">
        <f>HYPERLINK("https://read.learnyard.com/dsa/maximum-matrix-sum/","Read Article")</f>
        <v/>
      </c>
      <c r="E323" t="inlineStr">
        <is>
          <t>Medium</t>
        </is>
      </c>
      <c r="F323" t="n">
        <v>7</v>
      </c>
      <c r="G323" t="inlineStr">
        <is>
          <t>Matrix</t>
        </is>
      </c>
      <c r="H323" t="inlineStr">
        <is>
          <t>Matrix Traversal and Summation</t>
        </is>
      </c>
      <c r="I323" t="inlineStr">
        <is>
          <t>Leetcode</t>
        </is>
      </c>
      <c r="J323" t="inlineStr">
        <is>
          <t>Problem</t>
        </is>
      </c>
    </row>
    <row r="324">
      <c r="A324" t="n">
        <v>185</v>
      </c>
      <c r="B324" t="inlineStr">
        <is>
          <t>Find the Grid of Region Average</t>
        </is>
      </c>
      <c r="C324">
        <f>HYPERLINK("https://leetcode.com/problems/find-the-grid-of-region-average","find-the-grid-of-region-average")</f>
        <v/>
      </c>
      <c r="D324" t="inlineStr">
        <is>
          <t>-</t>
        </is>
      </c>
      <c r="E324" t="inlineStr">
        <is>
          <t>Medium</t>
        </is>
      </c>
      <c r="F324" t="n">
        <v>7</v>
      </c>
      <c r="G324" t="inlineStr">
        <is>
          <t>Matrix</t>
        </is>
      </c>
      <c r="H324" t="inlineStr">
        <is>
          <t>Matrix Traversal and Summation</t>
        </is>
      </c>
      <c r="I324" t="inlineStr">
        <is>
          <t>Leetcode</t>
        </is>
      </c>
      <c r="J324" t="inlineStr">
        <is>
          <t>Problem</t>
        </is>
      </c>
    </row>
    <row r="325">
      <c r="A325" t="n">
        <v>707</v>
      </c>
      <c r="B325" t="inlineStr">
        <is>
          <t>Spiral Matrix</t>
        </is>
      </c>
      <c r="C325">
        <f>HYPERLINK("https://leetcode.com/problems/spiral-matrix","spiral-matrix")</f>
        <v/>
      </c>
      <c r="D325">
        <f>HYPERLINK("https://read.learnyard.com/dsa/spiral-matrix/","Read Article")</f>
        <v/>
      </c>
      <c r="E325" t="inlineStr">
        <is>
          <t>Medium</t>
        </is>
      </c>
      <c r="F325" t="n">
        <v>7</v>
      </c>
      <c r="G325" t="inlineStr">
        <is>
          <t>Matrix</t>
        </is>
      </c>
      <c r="H325" t="inlineStr">
        <is>
          <t>Matrix Traversal and Summation</t>
        </is>
      </c>
      <c r="I325" t="inlineStr">
        <is>
          <t>Leetcode</t>
        </is>
      </c>
      <c r="J325" t="inlineStr">
        <is>
          <t>Problem</t>
        </is>
      </c>
    </row>
    <row r="326">
      <c r="A326" t="n">
        <v>708</v>
      </c>
      <c r="B326" t="inlineStr">
        <is>
          <t>Spiral Matrix II</t>
        </is>
      </c>
      <c r="C326">
        <f>HYPERLINK("https://leetcode.com/problems/spiral-matrix-ii","spiral-matrix-ii")</f>
        <v/>
      </c>
      <c r="D326">
        <f>HYPERLINK("https://read.learnyard.com/dsa/spiral-matrix-ii/","Read Article")</f>
        <v/>
      </c>
      <c r="E326" t="inlineStr">
        <is>
          <t>Medium</t>
        </is>
      </c>
      <c r="F326" t="n">
        <v>7</v>
      </c>
      <c r="G326" t="inlineStr">
        <is>
          <t>Matrix</t>
        </is>
      </c>
      <c r="H326" t="inlineStr">
        <is>
          <t>Matrix Traversal and Summation</t>
        </is>
      </c>
      <c r="I326" t="inlineStr">
        <is>
          <t>Leetcode</t>
        </is>
      </c>
      <c r="J326" t="inlineStr">
        <is>
          <t>Problem</t>
        </is>
      </c>
    </row>
    <row r="327">
      <c r="A327" t="n">
        <v>166</v>
      </c>
      <c r="B327" t="inlineStr">
        <is>
          <t>Find Common Elements Between Two Arrays</t>
        </is>
      </c>
      <c r="C327">
        <f>HYPERLINK("https://leetcode.com/problems/find-common-elements-between-two-arrays","find-common-elements-between-two-arrays")</f>
        <v/>
      </c>
      <c r="D327" t="inlineStr">
        <is>
          <t>-</t>
        </is>
      </c>
      <c r="E327" t="inlineStr">
        <is>
          <t>Easy</t>
        </is>
      </c>
      <c r="F327" t="n">
        <v>8</v>
      </c>
      <c r="G327" t="inlineStr">
        <is>
          <t>Hashing</t>
        </is>
      </c>
      <c r="H327" t="inlineStr">
        <is>
          <t>Implementary Problems</t>
        </is>
      </c>
      <c r="I327" t="inlineStr">
        <is>
          <t>Leetcode</t>
        </is>
      </c>
      <c r="J327" t="inlineStr">
        <is>
          <t>Problem</t>
        </is>
      </c>
    </row>
    <row r="328">
      <c r="A328" t="n">
        <v>90</v>
      </c>
      <c r="B328" t="inlineStr">
        <is>
          <t>Contains Duplicate</t>
        </is>
      </c>
      <c r="C328">
        <f>HYPERLINK("https://leetcode.com/problems/contains-duplicate","contains-duplicate")</f>
        <v/>
      </c>
      <c r="D328" t="inlineStr">
        <is>
          <t>-</t>
        </is>
      </c>
      <c r="E328" t="inlineStr">
        <is>
          <t>Easy</t>
        </is>
      </c>
      <c r="F328" t="n">
        <v>8</v>
      </c>
      <c r="G328" t="inlineStr">
        <is>
          <t>Hashing</t>
        </is>
      </c>
      <c r="H328" t="inlineStr">
        <is>
          <t>Implementary Problems</t>
        </is>
      </c>
      <c r="I328" t="inlineStr">
        <is>
          <t>Leetcode</t>
        </is>
      </c>
      <c r="J328" t="inlineStr">
        <is>
          <t>Problem</t>
        </is>
      </c>
    </row>
    <row r="329">
      <c r="A329" t="n">
        <v>735</v>
      </c>
      <c r="B329" t="inlineStr">
        <is>
          <t>Sum of Unique Elements</t>
        </is>
      </c>
      <c r="C329">
        <f>HYPERLINK("https://leetcode.com/problems/sum-of-unique-elements","sum-of-unique-elements")</f>
        <v/>
      </c>
      <c r="D329" t="inlineStr">
        <is>
          <t>-</t>
        </is>
      </c>
      <c r="E329" t="inlineStr">
        <is>
          <t>Easy</t>
        </is>
      </c>
      <c r="F329" t="n">
        <v>8</v>
      </c>
      <c r="G329" t="inlineStr">
        <is>
          <t>Hashing</t>
        </is>
      </c>
      <c r="H329" t="inlineStr">
        <is>
          <t>Implementary Problems</t>
        </is>
      </c>
      <c r="I329" t="inlineStr">
        <is>
          <t>Leetcode</t>
        </is>
      </c>
      <c r="J329" t="inlineStr">
        <is>
          <t>Problem</t>
        </is>
      </c>
    </row>
    <row r="330">
      <c r="A330" t="n">
        <v>158</v>
      </c>
      <c r="B330" t="inlineStr">
        <is>
          <t>Find All Duplicates in an Array</t>
        </is>
      </c>
      <c r="C330">
        <f>HYPERLINK("https://leetcode.com/problems/find-all-duplicates-in-an-array","find-all-duplicates-in-an-array")</f>
        <v/>
      </c>
      <c r="D330" t="inlineStr">
        <is>
          <t>-</t>
        </is>
      </c>
      <c r="E330" t="inlineStr">
        <is>
          <t>Medium</t>
        </is>
      </c>
      <c r="F330" t="n">
        <v>8</v>
      </c>
      <c r="G330" t="inlineStr">
        <is>
          <t>Hashing</t>
        </is>
      </c>
      <c r="H330" t="inlineStr">
        <is>
          <t>Implementary Problems</t>
        </is>
      </c>
      <c r="I330" t="inlineStr">
        <is>
          <t>Leetcode</t>
        </is>
      </c>
      <c r="J330" t="inlineStr">
        <is>
          <t>Problem</t>
        </is>
      </c>
    </row>
    <row r="331">
      <c r="A331" t="n">
        <v>73</v>
      </c>
      <c r="B331" t="inlineStr">
        <is>
          <t>Check if All Characters Have Equal Number of Occurrences</t>
        </is>
      </c>
      <c r="C331">
        <f>HYPERLINK("https://leetcode.com/problems/check-if-all-characters-have-equal-number-of-occurrences","check-if-all-characters-have-equal-number-of-occurrences")</f>
        <v/>
      </c>
      <c r="D331" t="inlineStr">
        <is>
          <t>-</t>
        </is>
      </c>
      <c r="E331" t="inlineStr">
        <is>
          <t>Easy</t>
        </is>
      </c>
      <c r="F331" t="n">
        <v>8</v>
      </c>
      <c r="G331" t="inlineStr">
        <is>
          <t>Hashing</t>
        </is>
      </c>
      <c r="H331" t="inlineStr">
        <is>
          <t>Implementary Problems</t>
        </is>
      </c>
      <c r="I331" t="inlineStr">
        <is>
          <t>Leetcode</t>
        </is>
      </c>
      <c r="J331" t="inlineStr">
        <is>
          <t>Problem</t>
        </is>
      </c>
    </row>
    <row r="332">
      <c r="A332" t="n">
        <v>759</v>
      </c>
      <c r="B332" t="inlineStr">
        <is>
          <t>Unique Number of Occurrences</t>
        </is>
      </c>
      <c r="C332">
        <f>HYPERLINK("https://leetcode.com/problems/unique-number-of-occurrences","unique-number-of-occurrences")</f>
        <v/>
      </c>
      <c r="D332" t="inlineStr">
        <is>
          <t>-</t>
        </is>
      </c>
      <c r="E332" t="inlineStr">
        <is>
          <t>Easy</t>
        </is>
      </c>
      <c r="F332" t="n">
        <v>8</v>
      </c>
      <c r="G332" t="inlineStr">
        <is>
          <t>Hashing</t>
        </is>
      </c>
      <c r="H332" t="inlineStr">
        <is>
          <t>Implementary Problems</t>
        </is>
      </c>
      <c r="I332" t="inlineStr">
        <is>
          <t>Leetcode</t>
        </is>
      </c>
      <c r="J332" t="inlineStr">
        <is>
          <t>Problem</t>
        </is>
      </c>
    </row>
    <row r="333">
      <c r="A333" t="n">
        <v>165</v>
      </c>
      <c r="B333" t="inlineStr">
        <is>
          <t>Find Common Characters</t>
        </is>
      </c>
      <c r="C333">
        <f>HYPERLINK("https://leetcode.com/problems/find-common-characters","find-common-characters")</f>
        <v/>
      </c>
      <c r="D333" t="inlineStr">
        <is>
          <t>-</t>
        </is>
      </c>
      <c r="E333" t="inlineStr">
        <is>
          <t>Easy</t>
        </is>
      </c>
      <c r="F333" t="n">
        <v>8</v>
      </c>
      <c r="G333" t="inlineStr">
        <is>
          <t>Hashing</t>
        </is>
      </c>
      <c r="H333" t="inlineStr">
        <is>
          <t>Implementary Problems</t>
        </is>
      </c>
      <c r="I333" t="inlineStr">
        <is>
          <t>Leetcode</t>
        </is>
      </c>
      <c r="J333" t="inlineStr">
        <is>
          <t>Problem</t>
        </is>
      </c>
    </row>
    <row r="334">
      <c r="A334" t="n">
        <v>558</v>
      </c>
      <c r="B334" t="inlineStr">
        <is>
          <t>Number of Good Pairs</t>
        </is>
      </c>
      <c r="C334">
        <f>HYPERLINK("https://leetcode.com/problems/number-of-good-pairs","number-of-good-pairs")</f>
        <v/>
      </c>
      <c r="D334" t="inlineStr">
        <is>
          <t>-</t>
        </is>
      </c>
      <c r="E334" t="inlineStr">
        <is>
          <t>Easy</t>
        </is>
      </c>
      <c r="F334" t="n">
        <v>8</v>
      </c>
      <c r="G334" t="inlineStr">
        <is>
          <t>Hashing</t>
        </is>
      </c>
      <c r="H334" t="inlineStr">
        <is>
          <t>Implementary Problems</t>
        </is>
      </c>
      <c r="I334" t="inlineStr">
        <is>
          <t>Leetcode</t>
        </is>
      </c>
      <c r="J334" t="inlineStr">
        <is>
          <t>Problem</t>
        </is>
      </c>
    </row>
    <row r="335">
      <c r="A335" t="n">
        <v>596</v>
      </c>
      <c r="B335" t="inlineStr">
        <is>
          <t>Permutation Difference Between Two Strings</t>
        </is>
      </c>
      <c r="C335">
        <f>HYPERLINK("https://leetcode.com/problems/permutation-difference-between-two-strings","permutation-difference-between-two-strings")</f>
        <v/>
      </c>
      <c r="D335" t="inlineStr">
        <is>
          <t>-</t>
        </is>
      </c>
      <c r="E335" t="inlineStr">
        <is>
          <t>Easy</t>
        </is>
      </c>
      <c r="F335" t="n">
        <v>8</v>
      </c>
      <c r="G335" t="inlineStr">
        <is>
          <t>Hashing</t>
        </is>
      </c>
      <c r="H335" t="inlineStr">
        <is>
          <t>Implementary Problems</t>
        </is>
      </c>
      <c r="I335" t="inlineStr">
        <is>
          <t>Leetcode</t>
        </is>
      </c>
      <c r="J335" t="inlineStr">
        <is>
          <t>Problem</t>
        </is>
      </c>
    </row>
    <row r="336">
      <c r="A336" t="n">
        <v>75</v>
      </c>
      <c r="B336" t="inlineStr">
        <is>
          <t>Check if the Sentence is Pangram</t>
        </is>
      </c>
      <c r="C336">
        <f>HYPERLINK("https://leetcode.com/problems/check-if-the-sentence-is-pangram","check-if-the-sentence-is-pangram")</f>
        <v/>
      </c>
      <c r="D336" t="inlineStr">
        <is>
          <t>-</t>
        </is>
      </c>
      <c r="E336" t="inlineStr">
        <is>
          <t>Easy</t>
        </is>
      </c>
      <c r="F336" t="n">
        <v>8</v>
      </c>
      <c r="G336" t="inlineStr">
        <is>
          <t>Hashing</t>
        </is>
      </c>
      <c r="H336" t="inlineStr">
        <is>
          <t>Implementary Problems</t>
        </is>
      </c>
      <c r="I336" t="inlineStr">
        <is>
          <t>Leetcode</t>
        </is>
      </c>
      <c r="J336" t="inlineStr">
        <is>
          <t>Problem</t>
        </is>
      </c>
    </row>
    <row r="337">
      <c r="A337" t="n">
        <v>131</v>
      </c>
      <c r="B337" t="inlineStr">
        <is>
          <t>Decode the Message</t>
        </is>
      </c>
      <c r="C337">
        <f>HYPERLINK("https://leetcode.com/problems/decode-the-message","decode-the-message")</f>
        <v/>
      </c>
      <c r="D337" t="inlineStr">
        <is>
          <t>-</t>
        </is>
      </c>
      <c r="E337" t="inlineStr">
        <is>
          <t>Easy</t>
        </is>
      </c>
      <c r="F337" t="n">
        <v>8</v>
      </c>
      <c r="G337" t="inlineStr">
        <is>
          <t>Hashing</t>
        </is>
      </c>
      <c r="H337" t="inlineStr">
        <is>
          <t>Implementary Problems</t>
        </is>
      </c>
      <c r="I337" t="inlineStr">
        <is>
          <t>Leetcode</t>
        </is>
      </c>
      <c r="J337" t="inlineStr">
        <is>
          <t>Problem</t>
        </is>
      </c>
    </row>
    <row r="338">
      <c r="A338" t="n">
        <v>646</v>
      </c>
      <c r="B338" t="inlineStr">
        <is>
          <t>Replace Elements in an Array</t>
        </is>
      </c>
      <c r="C338">
        <f>HYPERLINK("https://leetcode.com/problems/replace-elements-in-an-array","replace-elements-in-an-array")</f>
        <v/>
      </c>
      <c r="D338" t="inlineStr">
        <is>
          <t>-</t>
        </is>
      </c>
      <c r="E338" t="inlineStr">
        <is>
          <t>Medium</t>
        </is>
      </c>
      <c r="F338" t="n">
        <v>8</v>
      </c>
      <c r="G338" t="inlineStr">
        <is>
          <t>Hashing</t>
        </is>
      </c>
      <c r="H338" t="inlineStr">
        <is>
          <t>Implementary Problems</t>
        </is>
      </c>
      <c r="I338" t="inlineStr">
        <is>
          <t>Leetcode</t>
        </is>
      </c>
      <c r="J338" t="inlineStr">
        <is>
          <t>Problem</t>
        </is>
      </c>
    </row>
    <row r="339">
      <c r="A339" t="n">
        <v>123</v>
      </c>
      <c r="B339" t="inlineStr">
        <is>
          <t>Count the Number of Special Characters II</t>
        </is>
      </c>
      <c r="C339">
        <f>HYPERLINK("https://leetcode.com/problems/count-the-number-of-special-characters-ii","count-the-number-of-special-characters-ii")</f>
        <v/>
      </c>
      <c r="D339" t="inlineStr">
        <is>
          <t>-</t>
        </is>
      </c>
      <c r="E339" t="inlineStr">
        <is>
          <t>Medium</t>
        </is>
      </c>
      <c r="F339" t="n">
        <v>8</v>
      </c>
      <c r="G339" t="inlineStr">
        <is>
          <t>Hashing</t>
        </is>
      </c>
      <c r="H339" t="inlineStr">
        <is>
          <t>Implementary Problems</t>
        </is>
      </c>
      <c r="I339" t="inlineStr">
        <is>
          <t>Leetcode</t>
        </is>
      </c>
      <c r="J339" t="inlineStr">
        <is>
          <t>Problem</t>
        </is>
      </c>
    </row>
    <row r="340">
      <c r="A340" t="n">
        <v>624</v>
      </c>
      <c r="B340" t="inlineStr">
        <is>
          <t>Reconstruct Original Digits from English</t>
        </is>
      </c>
      <c r="C340">
        <f>HYPERLINK("https://leetcode.com/problems/reconstruct-original-digits-from-english","reconstruct-original-digits-from-english")</f>
        <v/>
      </c>
      <c r="D340" t="inlineStr">
        <is>
          <t>-</t>
        </is>
      </c>
      <c r="E340" t="inlineStr">
        <is>
          <t>Medium</t>
        </is>
      </c>
      <c r="F340" t="n">
        <v>8</v>
      </c>
      <c r="G340" t="inlineStr">
        <is>
          <t>Hashing</t>
        </is>
      </c>
      <c r="H340" t="inlineStr">
        <is>
          <t>Implementary Problems</t>
        </is>
      </c>
      <c r="I340" t="inlineStr">
        <is>
          <t>Leetcode</t>
        </is>
      </c>
      <c r="J340" t="inlineStr">
        <is>
          <t>Problem</t>
        </is>
      </c>
    </row>
    <row r="341">
      <c r="A341" t="n">
        <v>218</v>
      </c>
      <c r="B341" t="inlineStr">
        <is>
          <t>Integer to Roman</t>
        </is>
      </c>
      <c r="C341">
        <f>HYPERLINK("https://leetcode.com/problems/integer-to-roman","integer-to-roman")</f>
        <v/>
      </c>
      <c r="D341" t="inlineStr">
        <is>
          <t>-</t>
        </is>
      </c>
      <c r="E341" t="inlineStr">
        <is>
          <t>Medium</t>
        </is>
      </c>
      <c r="F341" t="n">
        <v>8</v>
      </c>
      <c r="G341" t="inlineStr">
        <is>
          <t>Hashing</t>
        </is>
      </c>
      <c r="H341" t="inlineStr">
        <is>
          <t>Implementary Problems</t>
        </is>
      </c>
      <c r="I341" t="inlineStr">
        <is>
          <t>Leetcode</t>
        </is>
      </c>
      <c r="J341" t="inlineStr">
        <is>
          <t>Problem</t>
        </is>
      </c>
    </row>
    <row r="342">
      <c r="A342" t="n">
        <v>198</v>
      </c>
      <c r="B342" t="inlineStr">
        <is>
          <t>Find Words That Can Be Formed by Characters</t>
        </is>
      </c>
      <c r="C342">
        <f>HYPERLINK("https://leetcode.com/problems/find-words-that-can-be-formed-by-characters","find-words-that-can-be-formed-by-characters")</f>
        <v/>
      </c>
      <c r="D342" t="inlineStr">
        <is>
          <t>-</t>
        </is>
      </c>
      <c r="E342" t="inlineStr">
        <is>
          <t>Easy</t>
        </is>
      </c>
      <c r="F342" t="n">
        <v>8</v>
      </c>
      <c r="G342" t="inlineStr">
        <is>
          <t>Hashing</t>
        </is>
      </c>
      <c r="H342" t="inlineStr">
        <is>
          <t>Implementary Problems</t>
        </is>
      </c>
      <c r="I342" t="inlineStr">
        <is>
          <t>Leetcode</t>
        </is>
      </c>
      <c r="J342" t="inlineStr">
        <is>
          <t>Problem</t>
        </is>
      </c>
    </row>
    <row r="343">
      <c r="A343" t="n">
        <v>196</v>
      </c>
      <c r="B343" t="inlineStr">
        <is>
          <t>Find the XOR of Numbers Which Appear Twice</t>
        </is>
      </c>
      <c r="C343">
        <f>HYPERLINK("https://leetcode.com/problems/find-the-xor-of-numbers-which-appear-twice","find-the-xor-of-numbers-which-appear-twice")</f>
        <v/>
      </c>
      <c r="D343" t="inlineStr">
        <is>
          <t>-</t>
        </is>
      </c>
      <c r="E343" t="inlineStr">
        <is>
          <t>Easy</t>
        </is>
      </c>
      <c r="F343" t="n">
        <v>8</v>
      </c>
      <c r="G343" t="inlineStr">
        <is>
          <t>Hashing</t>
        </is>
      </c>
      <c r="H343" t="inlineStr">
        <is>
          <t>Implementary Problems</t>
        </is>
      </c>
      <c r="I343" t="inlineStr">
        <is>
          <t>Leetcode</t>
        </is>
      </c>
      <c r="J343" t="inlineStr">
        <is>
          <t>Problem</t>
        </is>
      </c>
    </row>
    <row r="344">
      <c r="A344" t="n">
        <v>704</v>
      </c>
      <c r="B344" t="inlineStr">
        <is>
          <t>Sort the People</t>
        </is>
      </c>
      <c r="C344">
        <f>HYPERLINK("https://leetcode.com/problems/sort-the-people","sort-the-people")</f>
        <v/>
      </c>
      <c r="D344" t="inlineStr">
        <is>
          <t>-</t>
        </is>
      </c>
      <c r="E344" t="inlineStr">
        <is>
          <t>Easy</t>
        </is>
      </c>
      <c r="F344" t="n">
        <v>8</v>
      </c>
      <c r="G344" t="inlineStr">
        <is>
          <t>Hashing</t>
        </is>
      </c>
      <c r="H344" t="inlineStr">
        <is>
          <t>Implementary Problems</t>
        </is>
      </c>
      <c r="I344" t="inlineStr">
        <is>
          <t>Leetcode</t>
        </is>
      </c>
      <c r="J344" t="inlineStr">
        <is>
          <t>Problem</t>
        </is>
      </c>
    </row>
    <row r="345">
      <c r="A345" t="n">
        <v>201</v>
      </c>
      <c r="B345" t="inlineStr">
        <is>
          <t>Form Smallest Number from Two-Digit Arrays</t>
        </is>
      </c>
      <c r="C345">
        <f>HYPERLINK("https://leetcode.com/problems/form-smallest-number-from-two-digit-arrays","form-smallest-number-from-two-digit-arrays")</f>
        <v/>
      </c>
      <c r="D345" t="inlineStr">
        <is>
          <t>-</t>
        </is>
      </c>
      <c r="E345" t="inlineStr">
        <is>
          <t>Easy</t>
        </is>
      </c>
      <c r="F345" t="n">
        <v>8</v>
      </c>
      <c r="G345" t="inlineStr">
        <is>
          <t>Hashing</t>
        </is>
      </c>
      <c r="H345" t="inlineStr">
        <is>
          <t>Implementary Problems</t>
        </is>
      </c>
      <c r="I345" t="inlineStr">
        <is>
          <t>Leetcode</t>
        </is>
      </c>
      <c r="J345" t="inlineStr">
        <is>
          <t>Problem</t>
        </is>
      </c>
    </row>
    <row r="346">
      <c r="A346" t="n">
        <v>214</v>
      </c>
      <c r="B346" t="inlineStr">
        <is>
          <t>Increasing Decreasing String</t>
        </is>
      </c>
      <c r="C346">
        <f>HYPERLINK("https://leetcode.com/problems/increasing-decreasing-string","increasing-decreasing-string")</f>
        <v/>
      </c>
      <c r="D346" t="inlineStr">
        <is>
          <t>-</t>
        </is>
      </c>
      <c r="E346" t="inlineStr">
        <is>
          <t>Easy</t>
        </is>
      </c>
      <c r="F346" t="n">
        <v>8</v>
      </c>
      <c r="G346" t="inlineStr">
        <is>
          <t>Hashing</t>
        </is>
      </c>
      <c r="H346" t="inlineStr">
        <is>
          <t>Implementary Problems</t>
        </is>
      </c>
      <c r="I346" t="inlineStr">
        <is>
          <t>Leetcode</t>
        </is>
      </c>
      <c r="J346" t="inlineStr">
        <is>
          <t>Problem</t>
        </is>
      </c>
    </row>
    <row r="347">
      <c r="A347" t="n">
        <v>698</v>
      </c>
      <c r="B347" t="inlineStr">
        <is>
          <t>Sort Array by Increasing Frequency</t>
        </is>
      </c>
      <c r="C347">
        <f>HYPERLINK("https://leetcode.com/problems/sort-array-by-increasing-frequency","sort-array-by-increasing-frequency")</f>
        <v/>
      </c>
      <c r="D347" t="inlineStr">
        <is>
          <t>-</t>
        </is>
      </c>
      <c r="E347" t="inlineStr">
        <is>
          <t>Easy</t>
        </is>
      </c>
      <c r="F347" t="n">
        <v>8</v>
      </c>
      <c r="G347" t="inlineStr">
        <is>
          <t>Hashing</t>
        </is>
      </c>
      <c r="H347" t="inlineStr">
        <is>
          <t>Implementary Problems</t>
        </is>
      </c>
      <c r="I347" t="inlineStr">
        <is>
          <t>Leetcode</t>
        </is>
      </c>
      <c r="J347" t="inlineStr">
        <is>
          <t>Problem</t>
        </is>
      </c>
    </row>
    <row r="348">
      <c r="A348" t="n">
        <v>701</v>
      </c>
      <c r="B348" t="inlineStr">
        <is>
          <t>Sort Characters By Frequency</t>
        </is>
      </c>
      <c r="C348">
        <f>HYPERLINK("https://leetcode.com/problems/sort-characters-by-frequency/description/","sort-characters-by-frequency")</f>
        <v/>
      </c>
      <c r="D348" t="inlineStr">
        <is>
          <t>-</t>
        </is>
      </c>
      <c r="E348" t="inlineStr">
        <is>
          <t>Medium</t>
        </is>
      </c>
      <c r="F348" t="n">
        <v>8</v>
      </c>
      <c r="G348" t="inlineStr">
        <is>
          <t>Hashing</t>
        </is>
      </c>
      <c r="H348" t="inlineStr">
        <is>
          <t>Implementary Problems</t>
        </is>
      </c>
      <c r="I348" t="inlineStr">
        <is>
          <t>Leetcode</t>
        </is>
      </c>
      <c r="J348" t="inlineStr">
        <is>
          <t>Problem</t>
        </is>
      </c>
    </row>
    <row r="349">
      <c r="A349" t="n">
        <v>356</v>
      </c>
      <c r="B349" t="inlineStr">
        <is>
          <t>Merge Similar Items</t>
        </is>
      </c>
      <c r="C349">
        <f>HYPERLINK("https://leetcode.com/problems/merge-similar-items","merge-similar-items")</f>
        <v/>
      </c>
      <c r="D349" t="inlineStr">
        <is>
          <t>-</t>
        </is>
      </c>
      <c r="E349" t="inlineStr">
        <is>
          <t>Easy</t>
        </is>
      </c>
      <c r="F349" t="n">
        <v>8</v>
      </c>
      <c r="G349" t="inlineStr">
        <is>
          <t>Hashing</t>
        </is>
      </c>
      <c r="H349" t="inlineStr">
        <is>
          <t>Implementary Problems</t>
        </is>
      </c>
      <c r="I349" t="inlineStr">
        <is>
          <t>Leetcode</t>
        </is>
      </c>
      <c r="J349" t="inlineStr">
        <is>
          <t>Problem</t>
        </is>
      </c>
    </row>
    <row r="350">
      <c r="A350" t="n">
        <v>726</v>
      </c>
      <c r="B350" t="inlineStr">
        <is>
          <t>Substrings of Size Three with Distinct Characters</t>
        </is>
      </c>
      <c r="C350">
        <f>HYPERLINK("https://leetcode.com/problems/substrings-of-size-three-with-distinct-characters","substrings-of-size-three-with-distinct-characters")</f>
        <v/>
      </c>
      <c r="D350" t="inlineStr">
        <is>
          <t>-</t>
        </is>
      </c>
      <c r="E350" t="inlineStr">
        <is>
          <t>Easy</t>
        </is>
      </c>
      <c r="F350" t="n">
        <v>8</v>
      </c>
      <c r="G350" t="inlineStr">
        <is>
          <t>Hashing</t>
        </is>
      </c>
      <c r="H350" t="inlineStr">
        <is>
          <t>Implementary Problems</t>
        </is>
      </c>
      <c r="I350" t="inlineStr">
        <is>
          <t>Leetcode</t>
        </is>
      </c>
      <c r="J350" t="inlineStr">
        <is>
          <t>Problem</t>
        </is>
      </c>
    </row>
    <row r="351">
      <c r="A351" t="n">
        <v>80</v>
      </c>
      <c r="B351" t="inlineStr">
        <is>
          <t>Clear Digits</t>
        </is>
      </c>
      <c r="C351">
        <f>HYPERLINK("https://leetcode.com/problems/clear-digits","clear-digits")</f>
        <v/>
      </c>
      <c r="D351" t="inlineStr">
        <is>
          <t>-</t>
        </is>
      </c>
      <c r="E351" t="inlineStr">
        <is>
          <t>Easy</t>
        </is>
      </c>
      <c r="F351" t="n">
        <v>8</v>
      </c>
      <c r="G351" t="inlineStr">
        <is>
          <t>Hashing</t>
        </is>
      </c>
      <c r="H351" t="inlineStr">
        <is>
          <t>Implementary Problems</t>
        </is>
      </c>
      <c r="I351" t="inlineStr">
        <is>
          <t>Leetcode</t>
        </is>
      </c>
      <c r="J351" t="inlineStr">
        <is>
          <t>Problem</t>
        </is>
      </c>
    </row>
    <row r="352">
      <c r="A352" t="n">
        <v>213</v>
      </c>
      <c r="B352" t="inlineStr">
        <is>
          <t>HTML Entity Parser</t>
        </is>
      </c>
      <c r="C352">
        <f>HYPERLINK("https://leetcode.com/problems/html-entity-parser","html-entity-parser")</f>
        <v/>
      </c>
      <c r="D352" t="inlineStr">
        <is>
          <t>-</t>
        </is>
      </c>
      <c r="E352" t="inlineStr">
        <is>
          <t>Medium</t>
        </is>
      </c>
      <c r="F352" t="n">
        <v>8</v>
      </c>
      <c r="G352" t="inlineStr">
        <is>
          <t>Hashing</t>
        </is>
      </c>
      <c r="H352" t="inlineStr">
        <is>
          <t>Implementary Problems</t>
        </is>
      </c>
      <c r="I352" t="inlineStr">
        <is>
          <t>Leetcode</t>
        </is>
      </c>
      <c r="J352" t="inlineStr">
        <is>
          <t>Problem</t>
        </is>
      </c>
    </row>
    <row r="353">
      <c r="A353" t="n">
        <v>240</v>
      </c>
      <c r="B353" t="inlineStr">
        <is>
          <t>Largest Substring Between Two Equal Characters</t>
        </is>
      </c>
      <c r="C353">
        <f>HYPERLINK("https://leetcode.com/problems/largest-substring-between-two-equal-characters","largest-substring-between-two-equal-characters")</f>
        <v/>
      </c>
      <c r="D353" t="inlineStr">
        <is>
          <t>-</t>
        </is>
      </c>
      <c r="E353" t="inlineStr">
        <is>
          <t>Easy</t>
        </is>
      </c>
      <c r="F353" t="n">
        <v>8</v>
      </c>
      <c r="G353" t="inlineStr">
        <is>
          <t>Hashing</t>
        </is>
      </c>
      <c r="H353" t="inlineStr">
        <is>
          <t>Implementary Problems</t>
        </is>
      </c>
      <c r="I353" t="inlineStr">
        <is>
          <t>Leetcode</t>
        </is>
      </c>
      <c r="J353" t="inlineStr">
        <is>
          <t>Problem</t>
        </is>
      </c>
    </row>
    <row r="354">
      <c r="A354" t="n">
        <v>640</v>
      </c>
      <c r="B354" t="inlineStr">
        <is>
          <t>Remove Letter to Equalize Frequency</t>
        </is>
      </c>
      <c r="C354">
        <f>HYPERLINK("https://leetcode.com/problems/remove-letter-to-equalize-frequency","remove-letter-to-equalize-frequency")</f>
        <v/>
      </c>
      <c r="D354" t="inlineStr">
        <is>
          <t>-</t>
        </is>
      </c>
      <c r="E354" t="inlineStr">
        <is>
          <t>Easy</t>
        </is>
      </c>
      <c r="F354" t="n">
        <v>8</v>
      </c>
      <c r="G354" t="inlineStr">
        <is>
          <t>Hashing</t>
        </is>
      </c>
      <c r="H354" t="inlineStr">
        <is>
          <t>Implementary Problems</t>
        </is>
      </c>
      <c r="I354" t="inlineStr">
        <is>
          <t>Leetcode</t>
        </is>
      </c>
      <c r="J354" t="inlineStr">
        <is>
          <t>Problem</t>
        </is>
      </c>
    </row>
    <row r="355">
      <c r="A355" t="n">
        <v>145</v>
      </c>
      <c r="B355" t="inlineStr">
        <is>
          <t>Distribute Candies</t>
        </is>
      </c>
      <c r="C355">
        <f>HYPERLINK("https://leetcode.com/problems/distribute-candies","distribute-candies")</f>
        <v/>
      </c>
      <c r="D355" t="inlineStr">
        <is>
          <t>-</t>
        </is>
      </c>
      <c r="E355" t="inlineStr">
        <is>
          <t>Easy</t>
        </is>
      </c>
      <c r="F355" t="n">
        <v>8</v>
      </c>
      <c r="G355" t="inlineStr">
        <is>
          <t>Hashing</t>
        </is>
      </c>
      <c r="H355" t="inlineStr">
        <is>
          <t>Implementary Problems</t>
        </is>
      </c>
      <c r="I355" t="inlineStr">
        <is>
          <t>Leetcode</t>
        </is>
      </c>
      <c r="J355" t="inlineStr">
        <is>
          <t>Problem</t>
        </is>
      </c>
    </row>
    <row r="356">
      <c r="A356" t="n">
        <v>589</v>
      </c>
      <c r="B356" t="inlineStr">
        <is>
          <t>Path Crossing</t>
        </is>
      </c>
      <c r="C356">
        <f>HYPERLINK("https://leetcode.com/problems/path-crossing","path-crossing")</f>
        <v/>
      </c>
      <c r="D356" t="inlineStr">
        <is>
          <t>-</t>
        </is>
      </c>
      <c r="E356" t="inlineStr">
        <is>
          <t>Easy</t>
        </is>
      </c>
      <c r="F356" t="n">
        <v>8</v>
      </c>
      <c r="G356" t="inlineStr">
        <is>
          <t>Hashing</t>
        </is>
      </c>
      <c r="H356" t="inlineStr">
        <is>
          <t>Implementary Problems</t>
        </is>
      </c>
      <c r="I356" t="inlineStr">
        <is>
          <t>Leetcode</t>
        </is>
      </c>
      <c r="J356" t="inlineStr">
        <is>
          <t>Problem</t>
        </is>
      </c>
    </row>
    <row r="357">
      <c r="A357" t="n">
        <v>63</v>
      </c>
      <c r="B357" t="inlineStr">
        <is>
          <t>Buddy Strings</t>
        </is>
      </c>
      <c r="C357">
        <f>HYPERLINK("https://leetcode.com/problems/buddy-strings","buddy-strings")</f>
        <v/>
      </c>
      <c r="D357" t="inlineStr">
        <is>
          <t>-</t>
        </is>
      </c>
      <c r="E357" t="inlineStr">
        <is>
          <t>Easy</t>
        </is>
      </c>
      <c r="F357" t="n">
        <v>8</v>
      </c>
      <c r="G357" t="inlineStr">
        <is>
          <t>Hashing</t>
        </is>
      </c>
      <c r="H357" t="inlineStr">
        <is>
          <t>Implementary Problems</t>
        </is>
      </c>
      <c r="I357" t="inlineStr">
        <is>
          <t>Leetcode</t>
        </is>
      </c>
      <c r="J357" t="inlineStr">
        <is>
          <t>Problem</t>
        </is>
      </c>
    </row>
    <row r="358">
      <c r="A358" t="n">
        <v>782</v>
      </c>
      <c r="B358" t="inlineStr">
        <is>
          <t>Word Pattern</t>
        </is>
      </c>
      <c r="C358">
        <f>HYPERLINK("https://leetcode.com/problems/word-pattern","word-pattern")</f>
        <v/>
      </c>
      <c r="D358" t="inlineStr">
        <is>
          <t>-</t>
        </is>
      </c>
      <c r="E358" t="inlineStr">
        <is>
          <t>Easy</t>
        </is>
      </c>
      <c r="F358" t="n">
        <v>8</v>
      </c>
      <c r="G358" t="inlineStr">
        <is>
          <t>Hashing</t>
        </is>
      </c>
      <c r="H358" t="inlineStr">
        <is>
          <t>Implementary Problems</t>
        </is>
      </c>
      <c r="I358" t="inlineStr">
        <is>
          <t>Leetcode</t>
        </is>
      </c>
      <c r="J358" t="inlineStr">
        <is>
          <t>Problem</t>
        </is>
      </c>
    </row>
    <row r="359">
      <c r="A359" t="n">
        <v>764</v>
      </c>
      <c r="B359" t="inlineStr">
        <is>
          <t>Valid Anagram</t>
        </is>
      </c>
      <c r="C359">
        <f>HYPERLINK("https://leetcode.com/problems/valid-anagram","valid-anagram")</f>
        <v/>
      </c>
      <c r="D359" t="inlineStr">
        <is>
          <t>-</t>
        </is>
      </c>
      <c r="E359" t="inlineStr">
        <is>
          <t>Easy</t>
        </is>
      </c>
      <c r="F359" t="n">
        <v>8</v>
      </c>
      <c r="G359" t="inlineStr">
        <is>
          <t>Hashing</t>
        </is>
      </c>
      <c r="H359" t="inlineStr">
        <is>
          <t>Implementary Problems</t>
        </is>
      </c>
      <c r="I359" t="inlineStr">
        <is>
          <t>Leetcode</t>
        </is>
      </c>
      <c r="J359" t="inlineStr">
        <is>
          <t>Problem</t>
        </is>
      </c>
    </row>
    <row r="360">
      <c r="A360" t="n">
        <v>176</v>
      </c>
      <c r="B360" t="inlineStr">
        <is>
          <t>Find Resultant Array After Removing Anagrams</t>
        </is>
      </c>
      <c r="C360">
        <f>HYPERLINK("https://leetcode.com/problems/find-resultant-array-after-removing-anagrams","find-resultant-array-after-removing-anagrams")</f>
        <v/>
      </c>
      <c r="D360" t="inlineStr">
        <is>
          <t>-</t>
        </is>
      </c>
      <c r="E360" t="inlineStr">
        <is>
          <t>Easy</t>
        </is>
      </c>
      <c r="F360" t="n">
        <v>8</v>
      </c>
      <c r="G360" t="inlineStr">
        <is>
          <t>Hashing</t>
        </is>
      </c>
      <c r="H360" t="inlineStr">
        <is>
          <t>Implementary Problems</t>
        </is>
      </c>
      <c r="I360" t="inlineStr">
        <is>
          <t>Leetcode</t>
        </is>
      </c>
      <c r="J360" t="inlineStr">
        <is>
          <t>Problem</t>
        </is>
      </c>
    </row>
    <row r="361">
      <c r="A361" t="n">
        <v>787</v>
      </c>
      <c r="B361" t="inlineStr">
        <is>
          <t>Group Anagrams</t>
        </is>
      </c>
      <c r="C361">
        <f>HYPERLINK("https://leetcode.com/problems/group-anagrams","group-anagrams")</f>
        <v/>
      </c>
      <c r="D361" t="inlineStr">
        <is>
          <t>-</t>
        </is>
      </c>
      <c r="E361" t="inlineStr">
        <is>
          <t>Medium</t>
        </is>
      </c>
      <c r="F361" t="n">
        <v>8</v>
      </c>
      <c r="G361" t="inlineStr">
        <is>
          <t>Hashing</t>
        </is>
      </c>
      <c r="H361" t="inlineStr">
        <is>
          <t>Implementary Problems</t>
        </is>
      </c>
      <c r="I361" t="inlineStr">
        <is>
          <t>Leetcode</t>
        </is>
      </c>
      <c r="J361" t="inlineStr">
        <is>
          <t>Problem</t>
        </is>
      </c>
    </row>
    <row r="362">
      <c r="A362" t="n">
        <v>291</v>
      </c>
      <c r="B362" t="inlineStr">
        <is>
          <t>Majority Element</t>
        </is>
      </c>
      <c r="C362">
        <f>HYPERLINK("https://leetcode.com/problems/majority-element/","majority-element")</f>
        <v/>
      </c>
      <c r="D362" t="inlineStr">
        <is>
          <t>-</t>
        </is>
      </c>
      <c r="E362" t="inlineStr">
        <is>
          <t>Easy</t>
        </is>
      </c>
      <c r="F362" t="n">
        <v>8</v>
      </c>
      <c r="G362" t="inlineStr">
        <is>
          <t>Hashing</t>
        </is>
      </c>
      <c r="H362" t="inlineStr">
        <is>
          <t>Implementary Problems</t>
        </is>
      </c>
      <c r="I362" t="inlineStr">
        <is>
          <t>Leetcode</t>
        </is>
      </c>
      <c r="J362" t="inlineStr">
        <is>
          <t>Problem</t>
        </is>
      </c>
    </row>
    <row r="363">
      <c r="A363" t="n">
        <v>292</v>
      </c>
      <c r="B363" t="inlineStr">
        <is>
          <t>Majority Element II</t>
        </is>
      </c>
      <c r="C363">
        <f>HYPERLINK("https://leetcode.com/problems/majority-element-ii","majority-element-ii")</f>
        <v/>
      </c>
      <c r="D363" t="inlineStr">
        <is>
          <t>-</t>
        </is>
      </c>
      <c r="E363" t="inlineStr">
        <is>
          <t>Medium</t>
        </is>
      </c>
      <c r="F363" t="n">
        <v>8</v>
      </c>
      <c r="G363" t="inlineStr">
        <is>
          <t>Hashing</t>
        </is>
      </c>
      <c r="H363" t="inlineStr">
        <is>
          <t>Implementary Problems</t>
        </is>
      </c>
      <c r="I363" t="inlineStr">
        <is>
          <t>Leetcode</t>
        </is>
      </c>
      <c r="J363" t="inlineStr">
        <is>
          <t>Problem</t>
        </is>
      </c>
    </row>
    <row r="364">
      <c r="A364" t="n">
        <v>162</v>
      </c>
      <c r="B364" t="inlineStr">
        <is>
          <t>Find All Lonely Numbers in the Array</t>
        </is>
      </c>
      <c r="C364">
        <f>HYPERLINK("https://leetcode.com/problems/find-all-lonely-numbers-in-the-array","find-all-lonely-numbers-in-the-array")</f>
        <v/>
      </c>
      <c r="D364" t="inlineStr">
        <is>
          <t>-</t>
        </is>
      </c>
      <c r="E364" t="inlineStr">
        <is>
          <t>Medium</t>
        </is>
      </c>
      <c r="F364" t="n">
        <v>8</v>
      </c>
      <c r="G364" t="inlineStr">
        <is>
          <t>Hashing</t>
        </is>
      </c>
      <c r="H364" t="inlineStr">
        <is>
          <t>Implementary Problems</t>
        </is>
      </c>
      <c r="I364" t="inlineStr">
        <is>
          <t>Leetcode</t>
        </is>
      </c>
      <c r="J364" t="inlineStr">
        <is>
          <t>Problem</t>
        </is>
      </c>
    </row>
    <row r="365">
      <c r="A365" t="n">
        <v>695</v>
      </c>
      <c r="B365" t="inlineStr">
        <is>
          <t>Smallest Missing Integer Greater Than Sequential Prefix Sum</t>
        </is>
      </c>
      <c r="C365">
        <f>HYPERLINK("https://leetcode.com/problems/smallest-missing-integer-greater-than-sequential-prefix-sum","smallest-missing-integer-greater-than-sequential-prefix-sum")</f>
        <v/>
      </c>
      <c r="D365" t="inlineStr">
        <is>
          <t>-</t>
        </is>
      </c>
      <c r="E365" t="inlineStr">
        <is>
          <t>Easy</t>
        </is>
      </c>
      <c r="F365" t="n">
        <v>8</v>
      </c>
      <c r="G365" t="inlineStr">
        <is>
          <t>Hashing</t>
        </is>
      </c>
      <c r="H365" t="inlineStr">
        <is>
          <t>Implementary Problems</t>
        </is>
      </c>
      <c r="I365" t="inlineStr">
        <is>
          <t>Leetcode</t>
        </is>
      </c>
      <c r="J365" t="inlineStr">
        <is>
          <t>Problem</t>
        </is>
      </c>
    </row>
    <row r="366">
      <c r="A366" t="n">
        <v>200</v>
      </c>
      <c r="B366" t="inlineStr">
        <is>
          <t>First Missing Positive</t>
        </is>
      </c>
      <c r="C366">
        <f>HYPERLINK("https://leetcode.com/problems/first-missing-positive","first-missing-positive")</f>
        <v/>
      </c>
      <c r="D366" t="inlineStr">
        <is>
          <t>-</t>
        </is>
      </c>
      <c r="E366" t="inlineStr">
        <is>
          <t>Hard</t>
        </is>
      </c>
      <c r="F366" t="n">
        <v>8</v>
      </c>
      <c r="G366" t="inlineStr">
        <is>
          <t>Hashing</t>
        </is>
      </c>
      <c r="H366" t="inlineStr">
        <is>
          <t>Implementary Problems</t>
        </is>
      </c>
      <c r="I366" t="inlineStr">
        <is>
          <t>Leetcode</t>
        </is>
      </c>
      <c r="J366" t="inlineStr">
        <is>
          <t>Problem</t>
        </is>
      </c>
    </row>
    <row r="367">
      <c r="A367" t="n">
        <v>683</v>
      </c>
      <c r="B367" t="inlineStr">
        <is>
          <t>Shortest Impossible Sequence of Rolls</t>
        </is>
      </c>
      <c r="C367">
        <f>HYPERLINK("https://leetcode.com/problems/shortest-impossible-sequence-of-rolls","shortest-impossible-sequence-of-rolls")</f>
        <v/>
      </c>
      <c r="D367" t="inlineStr">
        <is>
          <t>-</t>
        </is>
      </c>
      <c r="E367" t="inlineStr">
        <is>
          <t>Hard</t>
        </is>
      </c>
      <c r="F367" t="n">
        <v>8</v>
      </c>
      <c r="G367" t="inlineStr">
        <is>
          <t>Hashing</t>
        </is>
      </c>
      <c r="H367" t="inlineStr">
        <is>
          <t>Implementary Problems</t>
        </is>
      </c>
      <c r="I367" t="inlineStr">
        <is>
          <t>Leetcode</t>
        </is>
      </c>
      <c r="J367" t="inlineStr">
        <is>
          <t>Problem</t>
        </is>
      </c>
    </row>
    <row r="368">
      <c r="A368" t="n">
        <v>174</v>
      </c>
      <c r="B368" t="inlineStr">
        <is>
          <t>Find Occurrences of an Element in an Array</t>
        </is>
      </c>
      <c r="C368">
        <f>HYPERLINK("https://leetcode.com/problems/find-occurrences-of-an-element-in-an-array","find-occurrences-of-an-element-in-an-array")</f>
        <v/>
      </c>
      <c r="D368" t="inlineStr">
        <is>
          <t>-</t>
        </is>
      </c>
      <c r="E368" t="inlineStr">
        <is>
          <t>Medium</t>
        </is>
      </c>
      <c r="F368" t="n">
        <v>8</v>
      </c>
      <c r="G368" t="inlineStr">
        <is>
          <t>Hashing</t>
        </is>
      </c>
      <c r="H368" t="inlineStr">
        <is>
          <t>Implementary Problems</t>
        </is>
      </c>
      <c r="I368" t="inlineStr">
        <is>
          <t>Leetcode</t>
        </is>
      </c>
      <c r="J368" t="inlineStr">
        <is>
          <t>Problem</t>
        </is>
      </c>
    </row>
    <row r="369">
      <c r="A369" t="n">
        <v>628</v>
      </c>
      <c r="B369" t="inlineStr">
        <is>
          <t>Redistribute Characters to Make All Strings Equal</t>
        </is>
      </c>
      <c r="C369">
        <f>HYPERLINK("https://leetcode.com/problems/redistribute-characters-to-make-all-strings-equal","redistribute-characters-to-make-all-strings-equal")</f>
        <v/>
      </c>
      <c r="D369" t="inlineStr">
        <is>
          <t>-</t>
        </is>
      </c>
      <c r="E369" t="inlineStr">
        <is>
          <t>Easy</t>
        </is>
      </c>
      <c r="F369" t="n">
        <v>8</v>
      </c>
      <c r="G369" t="inlineStr">
        <is>
          <t>Hashing</t>
        </is>
      </c>
      <c r="H369" t="inlineStr">
        <is>
          <t>Implementary Problems</t>
        </is>
      </c>
      <c r="I369" t="inlineStr">
        <is>
          <t>Leetcode</t>
        </is>
      </c>
      <c r="J369" t="inlineStr">
        <is>
          <t>Problem</t>
        </is>
      </c>
    </row>
    <row r="370">
      <c r="A370" t="n">
        <v>220</v>
      </c>
      <c r="B370" t="inlineStr">
        <is>
          <t>Isomorphic Strings</t>
        </is>
      </c>
      <c r="C370">
        <f>HYPERLINK("https://leetcode.com/problems/isomorphic-strings","isomorphic-strings")</f>
        <v/>
      </c>
      <c r="D370" t="inlineStr">
        <is>
          <t>-</t>
        </is>
      </c>
      <c r="E370" t="inlineStr">
        <is>
          <t>Easy</t>
        </is>
      </c>
      <c r="F370" t="n">
        <v>8</v>
      </c>
      <c r="G370" t="inlineStr">
        <is>
          <t>Hashing</t>
        </is>
      </c>
      <c r="H370" t="inlineStr">
        <is>
          <t>Implementary Problems</t>
        </is>
      </c>
      <c r="I370" t="inlineStr">
        <is>
          <t>Leetcode</t>
        </is>
      </c>
      <c r="J370" t="inlineStr">
        <is>
          <t>Problem</t>
        </is>
      </c>
    </row>
    <row r="371">
      <c r="A371" t="n">
        <v>208</v>
      </c>
      <c r="B371" t="inlineStr">
        <is>
          <t>Groups of Special Equivalent Strings</t>
        </is>
      </c>
      <c r="C371">
        <f>HYPERLINK("https://leetcode.com/problems/groups-of-special-equivalent-strings","groups-of-special-equivalent-strings")</f>
        <v/>
      </c>
      <c r="D371" t="inlineStr">
        <is>
          <t>-</t>
        </is>
      </c>
      <c r="E371" t="inlineStr">
        <is>
          <t>Medium</t>
        </is>
      </c>
      <c r="F371" t="n">
        <v>8</v>
      </c>
      <c r="G371" t="inlineStr">
        <is>
          <t>Hashing</t>
        </is>
      </c>
      <c r="H371" t="inlineStr">
        <is>
          <t>Implementary Problems</t>
        </is>
      </c>
      <c r="I371" t="inlineStr">
        <is>
          <t>Leetcode</t>
        </is>
      </c>
      <c r="J371" t="inlineStr">
        <is>
          <t>Problem</t>
        </is>
      </c>
    </row>
    <row r="372">
      <c r="A372" t="n">
        <v>783</v>
      </c>
      <c r="B372" t="inlineStr">
        <is>
          <t>Word Subsets</t>
        </is>
      </c>
      <c r="C372">
        <f>HYPERLINK("https://leetcode.com/problems/word-subsets","word-subsets")</f>
        <v/>
      </c>
      <c r="D372" t="inlineStr">
        <is>
          <t>-</t>
        </is>
      </c>
      <c r="E372" t="inlineStr">
        <is>
          <t>Medium</t>
        </is>
      </c>
      <c r="F372" t="n">
        <v>8</v>
      </c>
      <c r="G372" t="inlineStr">
        <is>
          <t>Hashing</t>
        </is>
      </c>
      <c r="H372" t="inlineStr">
        <is>
          <t>Implementary Problems</t>
        </is>
      </c>
      <c r="I372" t="inlineStr">
        <is>
          <t>Leetcode</t>
        </is>
      </c>
      <c r="J372" t="inlineStr">
        <is>
          <t>Problem</t>
        </is>
      </c>
    </row>
    <row r="373">
      <c r="A373" t="n">
        <v>866</v>
      </c>
      <c r="B373" t="inlineStr">
        <is>
          <t>Find the Maximum Number of Elements in Subset</t>
        </is>
      </c>
      <c r="C373">
        <f>HYPERLINK("https://leetcode.com/problems/find-the-maximum-number-of-elements-in-subset","find-the-maximum-number-of-elements-in-subset")</f>
        <v/>
      </c>
      <c r="D373" t="inlineStr">
        <is>
          <t>-</t>
        </is>
      </c>
      <c r="E373" t="inlineStr">
        <is>
          <t>Medium</t>
        </is>
      </c>
      <c r="F373" t="n">
        <v>8</v>
      </c>
      <c r="G373" t="inlineStr">
        <is>
          <t>Hashing</t>
        </is>
      </c>
      <c r="H373" t="inlineStr">
        <is>
          <t>Implementary Problems</t>
        </is>
      </c>
      <c r="I373" t="inlineStr">
        <is>
          <t>Leetcode</t>
        </is>
      </c>
      <c r="J373" t="inlineStr">
        <is>
          <t>Problem</t>
        </is>
      </c>
    </row>
    <row r="374">
      <c r="A374" t="n">
        <v>594</v>
      </c>
      <c r="B374" t="inlineStr">
        <is>
          <t>People Whose List of Favorite Companies is Not a Subset of Another List</t>
        </is>
      </c>
      <c r="C374">
        <f>HYPERLINK("https://leetcode.com/problems/people-whose-list-of-favorite-companies-is-not-a-subset-of-another-list","people-whose-list-of-favorite-companies-is-not-a-subset-of-another-list")</f>
        <v/>
      </c>
      <c r="D374" t="inlineStr">
        <is>
          <t>-</t>
        </is>
      </c>
      <c r="E374" t="inlineStr">
        <is>
          <t>Medium</t>
        </is>
      </c>
      <c r="F374" t="n">
        <v>8</v>
      </c>
      <c r="G374" t="inlineStr">
        <is>
          <t>Hashing</t>
        </is>
      </c>
      <c r="H374" t="inlineStr">
        <is>
          <t>Implementary Problems</t>
        </is>
      </c>
      <c r="I374" t="inlineStr">
        <is>
          <t>Leetcode</t>
        </is>
      </c>
      <c r="J374" t="inlineStr">
        <is>
          <t>Problem</t>
        </is>
      </c>
    </row>
    <row r="375">
      <c r="A375" t="n">
        <v>121</v>
      </c>
      <c r="B375" t="inlineStr">
        <is>
          <t>Count the Number of Good Partitions</t>
        </is>
      </c>
      <c r="C375">
        <f>HYPERLINK("https://leetcode.com/problems/count-the-number-of-good-partitions","count-the-number-of-good-partitions")</f>
        <v/>
      </c>
      <c r="D375" t="inlineStr">
        <is>
          <t>-</t>
        </is>
      </c>
      <c r="E375" t="inlineStr">
        <is>
          <t>Hard</t>
        </is>
      </c>
      <c r="F375" t="n">
        <v>8</v>
      </c>
      <c r="G375" t="inlineStr">
        <is>
          <t>Hashing</t>
        </is>
      </c>
      <c r="H375" t="inlineStr">
        <is>
          <t>Implementary Problems</t>
        </is>
      </c>
      <c r="I375" t="inlineStr">
        <is>
          <t>Leetcode</t>
        </is>
      </c>
      <c r="J375" t="inlineStr">
        <is>
          <t>Problem</t>
        </is>
      </c>
    </row>
    <row r="376">
      <c r="A376" t="n">
        <v>582</v>
      </c>
      <c r="B376" t="inlineStr">
        <is>
          <t>Optimal Partition of String</t>
        </is>
      </c>
      <c r="C376">
        <f>HYPERLINK("https://leetcode.com/problems/optimal-partition-of-string","optimal-partition-of-string")</f>
        <v/>
      </c>
      <c r="D376" t="inlineStr">
        <is>
          <t>-</t>
        </is>
      </c>
      <c r="E376" t="inlineStr">
        <is>
          <t>Medium</t>
        </is>
      </c>
      <c r="F376" t="n">
        <v>8</v>
      </c>
      <c r="G376" t="inlineStr">
        <is>
          <t>Hashing</t>
        </is>
      </c>
      <c r="H376" t="inlineStr">
        <is>
          <t>Implementary Problems</t>
        </is>
      </c>
      <c r="I376" t="inlineStr">
        <is>
          <t>Leetcode</t>
        </is>
      </c>
      <c r="J376" t="inlineStr">
        <is>
          <t>Problem</t>
        </is>
      </c>
    </row>
    <row r="377">
      <c r="A377" t="n">
        <v>129</v>
      </c>
      <c r="B377" t="inlineStr">
        <is>
          <t>Custom Sort String</t>
        </is>
      </c>
      <c r="C377">
        <f>HYPERLINK("https://leetcode.com/problems/custom-sort-string/","custom-sort-string")</f>
        <v/>
      </c>
      <c r="D377" t="inlineStr">
        <is>
          <t>-</t>
        </is>
      </c>
      <c r="E377" t="inlineStr">
        <is>
          <t>Medium</t>
        </is>
      </c>
      <c r="F377" t="n">
        <v>8</v>
      </c>
      <c r="G377" t="inlineStr">
        <is>
          <t>Hashing</t>
        </is>
      </c>
      <c r="H377" t="inlineStr">
        <is>
          <t>Implementary Problems</t>
        </is>
      </c>
      <c r="I377" t="inlineStr">
        <is>
          <t>Leetcode</t>
        </is>
      </c>
      <c r="J377" t="inlineStr">
        <is>
          <t>Problem</t>
        </is>
      </c>
    </row>
    <row r="378">
      <c r="A378" t="n">
        <v>286</v>
      </c>
      <c r="B378" t="inlineStr">
        <is>
          <t>Finding the Users Active Minutes</t>
        </is>
      </c>
      <c r="C378">
        <f>HYPERLINK("https://leetcode.com/problems/finding-the-users-active-minutes","finding-the-users-active-minutes")</f>
        <v/>
      </c>
      <c r="D378" t="inlineStr">
        <is>
          <t>-</t>
        </is>
      </c>
      <c r="E378" t="inlineStr">
        <is>
          <t>Medium</t>
        </is>
      </c>
      <c r="F378" t="n">
        <v>8</v>
      </c>
      <c r="G378" t="inlineStr">
        <is>
          <t>Hashing</t>
        </is>
      </c>
      <c r="H378" t="inlineStr">
        <is>
          <t>Implementary Problems</t>
        </is>
      </c>
      <c r="I378" t="inlineStr">
        <is>
          <t>Leetcode</t>
        </is>
      </c>
      <c r="J378" t="inlineStr">
        <is>
          <t>Problem</t>
        </is>
      </c>
    </row>
    <row r="379">
      <c r="A379" t="n">
        <v>95</v>
      </c>
      <c r="B379" t="inlineStr">
        <is>
          <t>Convert an Array into a 2D Array with Conditions</t>
        </is>
      </c>
      <c r="C379">
        <f>HYPERLINK("https://leetcode.com/problems/convert-an-array-into-a-2d-array-with-conditions","convert-an-array-into-a-2d-array-with-conditions")</f>
        <v/>
      </c>
      <c r="D379" t="inlineStr">
        <is>
          <t>-</t>
        </is>
      </c>
      <c r="E379" t="inlineStr">
        <is>
          <t>Medium</t>
        </is>
      </c>
      <c r="F379" t="n">
        <v>8</v>
      </c>
      <c r="G379" t="inlineStr">
        <is>
          <t>Hashing</t>
        </is>
      </c>
      <c r="H379" t="inlineStr">
        <is>
          <t>Implementary Problems</t>
        </is>
      </c>
      <c r="I379" t="inlineStr">
        <is>
          <t>Leetcode</t>
        </is>
      </c>
      <c r="J379" t="inlineStr">
        <is>
          <t>Problem</t>
        </is>
      </c>
    </row>
    <row r="380">
      <c r="A380" t="n">
        <v>207</v>
      </c>
      <c r="B380" t="inlineStr">
        <is>
          <t>Group the People Given the Group Size They Belong To</t>
        </is>
      </c>
      <c r="C380">
        <f>HYPERLINK("https://leetcode.com/problems/group-the-people-given-the-group-size-they-belong-to","group-the-people-given-the-group-size-they-belong-to")</f>
        <v/>
      </c>
      <c r="D380" t="inlineStr">
        <is>
          <t>-</t>
        </is>
      </c>
      <c r="E380" t="inlineStr">
        <is>
          <t>Medium</t>
        </is>
      </c>
      <c r="F380" t="n">
        <v>8</v>
      </c>
      <c r="G380" t="inlineStr">
        <is>
          <t>Hashing</t>
        </is>
      </c>
      <c r="H380" t="inlineStr">
        <is>
          <t>Implementary Problems</t>
        </is>
      </c>
      <c r="I380" t="inlineStr">
        <is>
          <t>Leetcode</t>
        </is>
      </c>
      <c r="J380" t="inlineStr">
        <is>
          <t>Problem</t>
        </is>
      </c>
    </row>
    <row r="381">
      <c r="A381" t="n">
        <v>459</v>
      </c>
      <c r="B381" t="inlineStr">
        <is>
          <t>Evaluate the Bracket Pairs of a String</t>
        </is>
      </c>
      <c r="C381">
        <f>HYPERLINK("https://leetcode.com/problems/evaluate-the-bracket-pairs-of-a-string","evaluate-the-bracket-pairs-of-a-string")</f>
        <v/>
      </c>
      <c r="D381" t="inlineStr">
        <is>
          <t>-</t>
        </is>
      </c>
      <c r="E381" t="inlineStr">
        <is>
          <t>Medium</t>
        </is>
      </c>
      <c r="F381" t="n">
        <v>8</v>
      </c>
      <c r="G381" t="inlineStr">
        <is>
          <t>Hashing</t>
        </is>
      </c>
      <c r="H381" t="inlineStr">
        <is>
          <t>Implementary Problems</t>
        </is>
      </c>
      <c r="I381" t="inlineStr">
        <is>
          <t>Leetcode</t>
        </is>
      </c>
      <c r="J381" t="inlineStr">
        <is>
          <t>Problem</t>
        </is>
      </c>
    </row>
    <row r="382">
      <c r="A382" t="n">
        <v>795</v>
      </c>
      <c r="B382" t="inlineStr">
        <is>
          <t>Minimum Number of Operations to Make Word K-Periodic</t>
        </is>
      </c>
      <c r="C382">
        <f>HYPERLINK("https://leetcode.com/problems/minimum-number-of-operations-to-make-word-k-periodic","minimum-number-of-operations-to-make-word-k-periodic")</f>
        <v/>
      </c>
      <c r="D382" t="inlineStr">
        <is>
          <t>-</t>
        </is>
      </c>
      <c r="E382" t="inlineStr">
        <is>
          <t>Medium</t>
        </is>
      </c>
      <c r="F382" t="n">
        <v>8</v>
      </c>
      <c r="G382" t="inlineStr">
        <is>
          <t>Hashing</t>
        </is>
      </c>
      <c r="H382" t="inlineStr">
        <is>
          <t>Implementary Problems</t>
        </is>
      </c>
      <c r="I382" t="inlineStr">
        <is>
          <t>Leetcode</t>
        </is>
      </c>
      <c r="J382" t="inlineStr">
        <is>
          <t>Problem</t>
        </is>
      </c>
    </row>
    <row r="383">
      <c r="A383" t="n">
        <v>67</v>
      </c>
      <c r="B383" t="inlineStr">
        <is>
          <t>Can Convert String in K Moves</t>
        </is>
      </c>
      <c r="C383">
        <f>HYPERLINK("https://leetcode.com/problems/can-convert-string-in-k-moves","can-convert-string-in-k-moves")</f>
        <v/>
      </c>
      <c r="D383" t="inlineStr">
        <is>
          <t>-</t>
        </is>
      </c>
      <c r="E383" t="inlineStr">
        <is>
          <t>Medium</t>
        </is>
      </c>
      <c r="F383" t="n">
        <v>8</v>
      </c>
      <c r="G383" t="inlineStr">
        <is>
          <t>Hashing</t>
        </is>
      </c>
      <c r="H383" t="inlineStr">
        <is>
          <t>Implementary Problems</t>
        </is>
      </c>
      <c r="I383" t="inlineStr">
        <is>
          <t>Leetcode</t>
        </is>
      </c>
      <c r="J383" t="inlineStr">
        <is>
          <t>Problem</t>
        </is>
      </c>
    </row>
    <row r="384">
      <c r="A384" t="n">
        <v>649</v>
      </c>
      <c r="B384" t="inlineStr">
        <is>
          <t>Restore the Array from Adjacent Pairs</t>
        </is>
      </c>
      <c r="C384">
        <f>HYPERLINK("https://leetcode.com/problems/restore-the-array-from-adjacent-pairs","restore-the-array-from-adjacent-pairs")</f>
        <v/>
      </c>
      <c r="D384" t="inlineStr">
        <is>
          <t>-</t>
        </is>
      </c>
      <c r="E384" t="inlineStr">
        <is>
          <t>Medium</t>
        </is>
      </c>
      <c r="F384" t="n">
        <v>8</v>
      </c>
      <c r="G384" t="inlineStr">
        <is>
          <t>Hashing</t>
        </is>
      </c>
      <c r="H384" t="inlineStr">
        <is>
          <t>Implementary Problems</t>
        </is>
      </c>
      <c r="I384" t="inlineStr">
        <is>
          <t>Leetcode</t>
        </is>
      </c>
      <c r="J384" t="inlineStr">
        <is>
          <t>Problem</t>
        </is>
      </c>
    </row>
    <row r="385">
      <c r="A385" t="n">
        <v>755</v>
      </c>
      <c r="B385" t="inlineStr">
        <is>
          <t>Tuple with Same Product</t>
        </is>
      </c>
      <c r="C385">
        <f>HYPERLINK("https://leetcode.com/problems/tuple-with-same-product","tuple-with-same-product")</f>
        <v/>
      </c>
      <c r="D385" t="inlineStr">
        <is>
          <t>-</t>
        </is>
      </c>
      <c r="E385" t="inlineStr">
        <is>
          <t>Medium</t>
        </is>
      </c>
      <c r="F385" t="n">
        <v>8</v>
      </c>
      <c r="G385" t="inlineStr">
        <is>
          <t>Hashing</t>
        </is>
      </c>
      <c r="H385" t="inlineStr">
        <is>
          <t>Implementary Problems</t>
        </is>
      </c>
      <c r="I385" t="inlineStr">
        <is>
          <t>Leetcode</t>
        </is>
      </c>
      <c r="J385" t="inlineStr">
        <is>
          <t>Problem</t>
        </is>
      </c>
    </row>
    <row r="386">
      <c r="A386" t="n">
        <v>710</v>
      </c>
      <c r="B386" t="inlineStr">
        <is>
          <t>Split the Array to Make Coprime Products</t>
        </is>
      </c>
      <c r="C386">
        <f>HYPERLINK("https://leetcode.com/problems/split-the-array-to-make-coprime-products","split-the-array-to-make-coprime-products")</f>
        <v/>
      </c>
      <c r="D386" t="inlineStr">
        <is>
          <t>-</t>
        </is>
      </c>
      <c r="E386" t="inlineStr">
        <is>
          <t>Hard</t>
        </is>
      </c>
      <c r="F386" t="n">
        <v>8</v>
      </c>
      <c r="G386" t="inlineStr">
        <is>
          <t>Hashing</t>
        </is>
      </c>
      <c r="H386" t="inlineStr">
        <is>
          <t>Implementary Problems</t>
        </is>
      </c>
      <c r="I386" t="inlineStr">
        <is>
          <t>Leetcode</t>
        </is>
      </c>
      <c r="J386" t="inlineStr">
        <is>
          <t>Problem</t>
        </is>
      </c>
    </row>
    <row r="387">
      <c r="A387" t="n">
        <v>27</v>
      </c>
      <c r="B387" t="inlineStr">
        <is>
          <t>4Sum II</t>
        </is>
      </c>
      <c r="C387">
        <f>HYPERLINK("https://leetcode.com/problems/4sum-ii","4sum-ii")</f>
        <v/>
      </c>
      <c r="D387" t="inlineStr">
        <is>
          <t>-</t>
        </is>
      </c>
      <c r="E387" t="inlineStr">
        <is>
          <t>Medium</t>
        </is>
      </c>
      <c r="F387" t="n">
        <v>8</v>
      </c>
      <c r="G387" t="inlineStr">
        <is>
          <t>Hashing</t>
        </is>
      </c>
      <c r="H387" t="inlineStr">
        <is>
          <t>Implementary Problems</t>
        </is>
      </c>
      <c r="I387" t="inlineStr">
        <is>
          <t>Leetcode</t>
        </is>
      </c>
      <c r="J387" t="inlineStr">
        <is>
          <t>Problem</t>
        </is>
      </c>
    </row>
    <row r="388">
      <c r="A388" t="n">
        <v>434</v>
      </c>
      <c r="B388" t="inlineStr">
        <is>
          <t>Count Artifacts That Can Be Extracted</t>
        </is>
      </c>
      <c r="C388">
        <f>HYPERLINK("https://leetcode.com/problems/count-artifacts-that-can-be-extracted","count-artifacts-that-can-be-extracted")</f>
        <v/>
      </c>
      <c r="D388" t="inlineStr">
        <is>
          <t>-</t>
        </is>
      </c>
      <c r="E388" t="inlineStr">
        <is>
          <t>Medium</t>
        </is>
      </c>
      <c r="F388" t="n">
        <v>8</v>
      </c>
      <c r="G388" t="inlineStr">
        <is>
          <t>Hashing</t>
        </is>
      </c>
      <c r="H388" t="inlineStr">
        <is>
          <t>Implementary Problems</t>
        </is>
      </c>
      <c r="I388" t="inlineStr">
        <is>
          <t>Leetcode</t>
        </is>
      </c>
      <c r="J388" t="inlineStr">
        <is>
          <t>Problem</t>
        </is>
      </c>
    </row>
    <row r="389">
      <c r="A389" t="n">
        <v>62</v>
      </c>
      <c r="B389" t="inlineStr">
        <is>
          <t>Brick Wall</t>
        </is>
      </c>
      <c r="C389">
        <f>HYPERLINK("https://leetcode.com/problems/brick-wall","brick-wall")</f>
        <v/>
      </c>
      <c r="D389" t="inlineStr">
        <is>
          <t>-</t>
        </is>
      </c>
      <c r="E389" t="inlineStr">
        <is>
          <t>Medium</t>
        </is>
      </c>
      <c r="F389" t="n">
        <v>8</v>
      </c>
      <c r="G389" t="inlineStr">
        <is>
          <t>Hashing</t>
        </is>
      </c>
      <c r="H389" t="inlineStr">
        <is>
          <t>Implementary Problems</t>
        </is>
      </c>
      <c r="I389" t="inlineStr">
        <is>
          <t>Leetcode</t>
        </is>
      </c>
      <c r="J389" t="inlineStr">
        <is>
          <t>Problem</t>
        </is>
      </c>
    </row>
    <row r="390">
      <c r="A390" t="n">
        <v>804</v>
      </c>
      <c r="B390" t="inlineStr">
        <is>
          <t>Pairs of Songs with Total Durations Divisible by 60</t>
        </is>
      </c>
      <c r="C390">
        <f>HYPERLINK("https://leetcode.com/problems/pairs-of-songs-with-total-durations-divisible-by-60","pairs-of-songs-with-total-durations-divisible-by-60")</f>
        <v/>
      </c>
      <c r="D390" t="inlineStr">
        <is>
          <t>-</t>
        </is>
      </c>
      <c r="E390" t="inlineStr">
        <is>
          <t>Medium</t>
        </is>
      </c>
      <c r="F390" t="n">
        <v>8</v>
      </c>
      <c r="G390" t="inlineStr">
        <is>
          <t>Hashing</t>
        </is>
      </c>
      <c r="H390" t="inlineStr">
        <is>
          <t>Implementary Problems</t>
        </is>
      </c>
      <c r="I390" t="inlineStr">
        <is>
          <t>Leetcode</t>
        </is>
      </c>
      <c r="J390" t="inlineStr">
        <is>
          <t>Problem</t>
        </is>
      </c>
    </row>
    <row r="391">
      <c r="A391" t="n">
        <v>35</v>
      </c>
      <c r="B391" t="inlineStr">
        <is>
          <t>Alphabet Board Path</t>
        </is>
      </c>
      <c r="C391">
        <f>HYPERLINK("https://leetcode.com/problems/alphabet-board-path","alphabet-board-path")</f>
        <v/>
      </c>
      <c r="D391" t="inlineStr">
        <is>
          <t>-</t>
        </is>
      </c>
      <c r="E391" t="inlineStr">
        <is>
          <t>Medium</t>
        </is>
      </c>
      <c r="F391" t="n">
        <v>8</v>
      </c>
      <c r="G391" t="inlineStr">
        <is>
          <t>Hashing</t>
        </is>
      </c>
      <c r="H391" t="inlineStr">
        <is>
          <t>Implementary Problems</t>
        </is>
      </c>
      <c r="I391" t="inlineStr">
        <is>
          <t>Leetcode</t>
        </is>
      </c>
      <c r="J391" t="inlineStr">
        <is>
          <t>Problem</t>
        </is>
      </c>
    </row>
    <row r="392">
      <c r="A392" t="n">
        <v>774</v>
      </c>
      <c r="B392" t="inlineStr">
        <is>
          <t>Vowel Spellchecker</t>
        </is>
      </c>
      <c r="C392">
        <f>HYPERLINK("https://leetcode.com/problems/vowel-spellchecker","vowel-spellchecker")</f>
        <v/>
      </c>
      <c r="D392" t="inlineStr">
        <is>
          <t>-</t>
        </is>
      </c>
      <c r="E392" t="inlineStr">
        <is>
          <t>Medium</t>
        </is>
      </c>
      <c r="F392" t="n">
        <v>8</v>
      </c>
      <c r="G392" t="inlineStr">
        <is>
          <t>Hashing</t>
        </is>
      </c>
      <c r="H392" t="inlineStr">
        <is>
          <t>Implementary Problems</t>
        </is>
      </c>
      <c r="I392" t="inlineStr">
        <is>
          <t>Leetcode</t>
        </is>
      </c>
      <c r="J392" t="inlineStr">
        <is>
          <t>Problem</t>
        </is>
      </c>
    </row>
    <row r="393">
      <c r="A393" t="n">
        <v>65</v>
      </c>
      <c r="B393" t="inlineStr">
        <is>
          <t>Bulls and Cows</t>
        </is>
      </c>
      <c r="C393">
        <f>HYPERLINK("https://leetcode.com/problems/bulls-and-cows","bulls-and-cows")</f>
        <v/>
      </c>
      <c r="D393" t="inlineStr">
        <is>
          <t>-</t>
        </is>
      </c>
      <c r="E393" t="inlineStr">
        <is>
          <t>Medium</t>
        </is>
      </c>
      <c r="F393" t="n">
        <v>8</v>
      </c>
      <c r="G393" t="inlineStr">
        <is>
          <t>Hashing</t>
        </is>
      </c>
      <c r="H393" t="inlineStr">
        <is>
          <t>Implementary Problems</t>
        </is>
      </c>
      <c r="I393" t="inlineStr">
        <is>
          <t>Leetcode</t>
        </is>
      </c>
      <c r="J393" t="inlineStr">
        <is>
          <t>Problem</t>
        </is>
      </c>
    </row>
    <row r="394">
      <c r="A394" t="n">
        <v>70</v>
      </c>
      <c r="B394" t="inlineStr">
        <is>
          <t>Card Flipping Game</t>
        </is>
      </c>
      <c r="C394">
        <f>HYPERLINK("https://leetcode.com/problems/card-flipping-game","card-flipping-game")</f>
        <v/>
      </c>
      <c r="D394" t="inlineStr">
        <is>
          <t>-</t>
        </is>
      </c>
      <c r="E394" t="inlineStr">
        <is>
          <t>Medium</t>
        </is>
      </c>
      <c r="F394" t="n">
        <v>8</v>
      </c>
      <c r="G394" t="inlineStr">
        <is>
          <t>Hashing</t>
        </is>
      </c>
      <c r="H394" t="inlineStr">
        <is>
          <t>Implementary Problems</t>
        </is>
      </c>
      <c r="I394" t="inlineStr">
        <is>
          <t>Leetcode</t>
        </is>
      </c>
      <c r="J394" t="inlineStr">
        <is>
          <t>Problem</t>
        </is>
      </c>
    </row>
    <row r="395">
      <c r="A395" t="n">
        <v>342</v>
      </c>
      <c r="B395" t="inlineStr">
        <is>
          <t>Maximum Size of a Set After Removals</t>
        </is>
      </c>
      <c r="C395">
        <f>HYPERLINK("https://leetcode.com/problems/maximum-size-of-a-set-after-removals","maximum-size-of-a-set-after-removals")</f>
        <v/>
      </c>
      <c r="D395" t="inlineStr">
        <is>
          <t>-</t>
        </is>
      </c>
      <c r="E395" t="inlineStr">
        <is>
          <t>Medium</t>
        </is>
      </c>
      <c r="F395" t="n">
        <v>8</v>
      </c>
      <c r="G395" t="inlineStr">
        <is>
          <t>Hashing</t>
        </is>
      </c>
      <c r="H395" t="inlineStr">
        <is>
          <t>Implementary Problems</t>
        </is>
      </c>
      <c r="I395" t="inlineStr">
        <is>
          <t>Leetcode</t>
        </is>
      </c>
      <c r="J395" t="inlineStr">
        <is>
          <t>Problem</t>
        </is>
      </c>
    </row>
    <row r="396">
      <c r="A396" t="n">
        <v>516</v>
      </c>
      <c r="B396" t="inlineStr">
        <is>
          <t>Minimum Absolute Difference Queries</t>
        </is>
      </c>
      <c r="C396">
        <f>HYPERLINK("https://leetcode.com/problems/minimum-absolute-difference-queries","minimum-absolute-difference-queries")</f>
        <v/>
      </c>
      <c r="D396" t="inlineStr">
        <is>
          <t>-</t>
        </is>
      </c>
      <c r="E396" t="inlineStr">
        <is>
          <t>Medium</t>
        </is>
      </c>
      <c r="F396" t="n">
        <v>8</v>
      </c>
      <c r="G396" t="inlineStr">
        <is>
          <t>Hashing</t>
        </is>
      </c>
      <c r="H396" t="inlineStr">
        <is>
          <t>Implementary Problems</t>
        </is>
      </c>
      <c r="I396" t="inlineStr">
        <is>
          <t>Leetcode</t>
        </is>
      </c>
      <c r="J396" t="inlineStr">
        <is>
          <t>Problem</t>
        </is>
      </c>
    </row>
    <row r="397">
      <c r="A397" t="n">
        <v>429</v>
      </c>
      <c r="B397" t="inlineStr">
        <is>
          <t>Check if Array Pairs are Divisible by K</t>
        </is>
      </c>
      <c r="C397">
        <f>HYPERLINK("https://leetcode.com/problems/check-if-array-pairs-are-divisible-by-k","check-if-array-pairs-are-divisible-by-k")</f>
        <v/>
      </c>
      <c r="D397" t="inlineStr">
        <is>
          <t>-</t>
        </is>
      </c>
      <c r="E397" t="inlineStr">
        <is>
          <t>Medium</t>
        </is>
      </c>
      <c r="F397" t="n">
        <v>8</v>
      </c>
      <c r="G397" t="inlineStr">
        <is>
          <t>Hashing</t>
        </is>
      </c>
      <c r="H397" t="inlineStr">
        <is>
          <t>Implementary Problems</t>
        </is>
      </c>
      <c r="I397" t="inlineStr">
        <is>
          <t>Leetcode</t>
        </is>
      </c>
      <c r="J397" t="inlineStr">
        <is>
          <t>Problem</t>
        </is>
      </c>
    </row>
    <row r="398">
      <c r="A398" t="n">
        <v>450</v>
      </c>
      <c r="B398" t="inlineStr">
        <is>
          <t>Count Pairs That Form a Complete Day II</t>
        </is>
      </c>
      <c r="C398">
        <f>HYPERLINK("https://leetcode.com/problems/count-pairs-that-form-a-complete-day-ii","count-pairs-that-form-a-complete-day-ii")</f>
        <v/>
      </c>
      <c r="D398" t="inlineStr">
        <is>
          <t>-</t>
        </is>
      </c>
      <c r="E398" t="inlineStr">
        <is>
          <t>Medium</t>
        </is>
      </c>
      <c r="F398" t="n">
        <v>8</v>
      </c>
      <c r="G398" t="inlineStr">
        <is>
          <t>Hashing</t>
        </is>
      </c>
      <c r="H398" t="inlineStr">
        <is>
          <t>Implementary Problems</t>
        </is>
      </c>
      <c r="I398" t="inlineStr">
        <is>
          <t>Leetcode</t>
        </is>
      </c>
      <c r="J398" t="inlineStr">
        <is>
          <t>Problem</t>
        </is>
      </c>
    </row>
    <row r="399">
      <c r="A399" t="n">
        <v>107</v>
      </c>
      <c r="B399" t="inlineStr">
        <is>
          <t>Count Number of Bad Pairs</t>
        </is>
      </c>
      <c r="C399">
        <f>HYPERLINK("https://leetcode.com/problems/count-number-of-bad-pairs","count-number-of-bad-pairs")</f>
        <v/>
      </c>
      <c r="D399" t="inlineStr">
        <is>
          <t>-</t>
        </is>
      </c>
      <c r="E399" t="inlineStr">
        <is>
          <t>Medium</t>
        </is>
      </c>
      <c r="F399" t="n">
        <v>8</v>
      </c>
      <c r="G399" t="inlineStr">
        <is>
          <t>Hashing</t>
        </is>
      </c>
      <c r="H399" t="inlineStr">
        <is>
          <t>Implementary Problems</t>
        </is>
      </c>
      <c r="I399" t="inlineStr">
        <is>
          <t>Leetcode</t>
        </is>
      </c>
      <c r="J399" t="inlineStr">
        <is>
          <t>Problem</t>
        </is>
      </c>
    </row>
    <row r="400">
      <c r="A400" t="n">
        <v>416</v>
      </c>
      <c r="B400" t="inlineStr">
        <is>
          <t>Minimum Seconds to Equalize a Circular Array</t>
        </is>
      </c>
      <c r="C400">
        <f>HYPERLINK("https://leetcode.com/problems/minimum-seconds-to-equalize-a-circular-array","minimum-seconds-to-equalize-a-circular-array")</f>
        <v/>
      </c>
      <c r="D400" t="inlineStr">
        <is>
          <t>-</t>
        </is>
      </c>
      <c r="E400" t="inlineStr">
        <is>
          <t>Medium</t>
        </is>
      </c>
      <c r="F400" t="n">
        <v>8</v>
      </c>
      <c r="G400" t="inlineStr">
        <is>
          <t>Hashing</t>
        </is>
      </c>
      <c r="H400" t="inlineStr">
        <is>
          <t>Implementary Problems</t>
        </is>
      </c>
      <c r="I400" t="inlineStr">
        <is>
          <t>Leetcode</t>
        </is>
      </c>
      <c r="J400" t="inlineStr">
        <is>
          <t>Problem</t>
        </is>
      </c>
    </row>
    <row r="401">
      <c r="A401" t="n">
        <v>731</v>
      </c>
      <c r="B401" t="inlineStr">
        <is>
          <t>Sum of Imbalance Numbers of All Subarrays</t>
        </is>
      </c>
      <c r="C401">
        <f>HYPERLINK("https://leetcode.com/problems/sum-of-imbalance-numbers-of-all-subarrays","sum-of-imbalance-numbers-of-all-subarrays")</f>
        <v/>
      </c>
      <c r="D401" t="inlineStr">
        <is>
          <t>-</t>
        </is>
      </c>
      <c r="E401" t="inlineStr">
        <is>
          <t>Hard</t>
        </is>
      </c>
      <c r="F401" t="n">
        <v>8</v>
      </c>
      <c r="G401" t="inlineStr">
        <is>
          <t>Hashing</t>
        </is>
      </c>
      <c r="H401" t="inlineStr">
        <is>
          <t>Implementary Problems</t>
        </is>
      </c>
      <c r="I401" t="inlineStr">
        <is>
          <t>Leetcode</t>
        </is>
      </c>
      <c r="J401" t="inlineStr">
        <is>
          <t>Problem</t>
        </is>
      </c>
    </row>
    <row r="402">
      <c r="A402" t="n">
        <v>288</v>
      </c>
      <c r="B402" t="inlineStr">
        <is>
          <t>Grid Illumination</t>
        </is>
      </c>
      <c r="C402">
        <f>HYPERLINK("https://leetcode.com/problems/grid-illumination","grid-illumination")</f>
        <v/>
      </c>
      <c r="D402" t="inlineStr">
        <is>
          <t>-</t>
        </is>
      </c>
      <c r="E402" t="inlineStr">
        <is>
          <t>Hard</t>
        </is>
      </c>
      <c r="F402" t="n">
        <v>8</v>
      </c>
      <c r="G402" t="inlineStr">
        <is>
          <t>Hashing</t>
        </is>
      </c>
      <c r="H402" t="inlineStr">
        <is>
          <t>Implementary Problems</t>
        </is>
      </c>
      <c r="I402" t="inlineStr">
        <is>
          <t>Leetcode</t>
        </is>
      </c>
      <c r="J402" t="inlineStr">
        <is>
          <t>Problem</t>
        </is>
      </c>
    </row>
    <row r="403">
      <c r="A403" t="n">
        <v>318</v>
      </c>
      <c r="B403" t="inlineStr">
        <is>
          <t>Maximum Equal Frequency</t>
        </is>
      </c>
      <c r="C403">
        <f>HYPERLINK("https://leetcode.com/problems/maximum-equal-frequency","maximum-equal-frequency")</f>
        <v/>
      </c>
      <c r="D403" t="inlineStr">
        <is>
          <t>-</t>
        </is>
      </c>
      <c r="E403" t="inlineStr">
        <is>
          <t>Hard</t>
        </is>
      </c>
      <c r="F403" t="n">
        <v>8</v>
      </c>
      <c r="G403" t="inlineStr">
        <is>
          <t>Hashing</t>
        </is>
      </c>
      <c r="H403" t="inlineStr">
        <is>
          <t>Implementary Problems</t>
        </is>
      </c>
      <c r="I403" t="inlineStr">
        <is>
          <t>Leetcode</t>
        </is>
      </c>
      <c r="J403" t="inlineStr">
        <is>
          <t>Problem</t>
        </is>
      </c>
    </row>
    <row r="404">
      <c r="A404" t="n">
        <v>623</v>
      </c>
      <c r="B404" t="inlineStr">
        <is>
          <t>Rearranging Fruits</t>
        </is>
      </c>
      <c r="C404">
        <f>HYPERLINK("https://leetcode.com/problems/rearranging-fruits","rearranging-fruits")</f>
        <v/>
      </c>
      <c r="D404" t="inlineStr">
        <is>
          <t>-</t>
        </is>
      </c>
      <c r="E404" t="inlineStr">
        <is>
          <t>Hard</t>
        </is>
      </c>
      <c r="F404" t="n">
        <v>8</v>
      </c>
      <c r="G404" t="inlineStr">
        <is>
          <t>Hashing</t>
        </is>
      </c>
      <c r="H404" t="inlineStr">
        <is>
          <t>Implementary Problems</t>
        </is>
      </c>
      <c r="I404" t="inlineStr">
        <is>
          <t>Leetcode</t>
        </is>
      </c>
      <c r="J404" t="inlineStr">
        <is>
          <t>Problem</t>
        </is>
      </c>
    </row>
    <row r="405">
      <c r="A405" t="n">
        <v>722</v>
      </c>
      <c r="B405" t="inlineStr">
        <is>
          <t>Subarray Sum Equals K</t>
        </is>
      </c>
      <c r="C405">
        <f>HYPERLINK("https://leetcode.com/problems/subarray-sum-equals-k/description/","subarray-sum-equals-k")</f>
        <v/>
      </c>
      <c r="D405">
        <f>HYPERLINK("https://read.learnyard.com/dsa/subarray-sum-equals-k/","Read Article")</f>
        <v/>
      </c>
      <c r="E405" t="inlineStr">
        <is>
          <t>Medium</t>
        </is>
      </c>
      <c r="F405" t="n">
        <v>8</v>
      </c>
      <c r="G405" t="inlineStr">
        <is>
          <t>Hashing</t>
        </is>
      </c>
      <c r="H405" t="inlineStr">
        <is>
          <t>Hashing With Prefix Sum</t>
        </is>
      </c>
      <c r="I405" t="inlineStr">
        <is>
          <t>Leetcode</t>
        </is>
      </c>
      <c r="J405" t="inlineStr">
        <is>
          <t>Problem</t>
        </is>
      </c>
    </row>
    <row r="406">
      <c r="A406" t="n">
        <v>814</v>
      </c>
      <c r="B406" t="inlineStr">
        <is>
          <t>Subarray Sums Divisible by K</t>
        </is>
      </c>
      <c r="C406">
        <f>HYPERLINK("https://leetcode.com/problems/subarray-sums-divisible-by-k/description/","subarray-sums-divisible-by-k")</f>
        <v/>
      </c>
      <c r="D406" t="inlineStr">
        <is>
          <t>-</t>
        </is>
      </c>
      <c r="E406" t="inlineStr">
        <is>
          <t>Medium</t>
        </is>
      </c>
      <c r="F406" t="n">
        <v>8</v>
      </c>
      <c r="G406" t="inlineStr">
        <is>
          <t>Hashing</t>
        </is>
      </c>
      <c r="H406" t="inlineStr">
        <is>
          <t>Hashing With Prefix Sum</t>
        </is>
      </c>
      <c r="I406" t="inlineStr">
        <is>
          <t>Leetcode</t>
        </is>
      </c>
      <c r="J406" t="inlineStr">
        <is>
          <t>Problem</t>
        </is>
      </c>
    </row>
    <row r="407">
      <c r="A407" t="n">
        <v>295</v>
      </c>
      <c r="B407" t="inlineStr">
        <is>
          <t>Make Sum Divisible by P</t>
        </is>
      </c>
      <c r="C407">
        <f>HYPERLINK("https://leetcode.com/problems/make-sum-divisible-by-p/description/","make-sum-divisible-by-p")</f>
        <v/>
      </c>
      <c r="D407" t="inlineStr">
        <is>
          <t>-</t>
        </is>
      </c>
      <c r="E407" t="inlineStr">
        <is>
          <t>Medium</t>
        </is>
      </c>
      <c r="F407" t="n">
        <v>8</v>
      </c>
      <c r="G407" t="inlineStr">
        <is>
          <t>Hashing</t>
        </is>
      </c>
      <c r="H407" t="inlineStr">
        <is>
          <t>Hashing With Prefix Sum</t>
        </is>
      </c>
      <c r="I407" t="inlineStr">
        <is>
          <t>Leetcode</t>
        </is>
      </c>
      <c r="J407" t="inlineStr">
        <is>
          <t>Problem</t>
        </is>
      </c>
    </row>
    <row r="408">
      <c r="A408" t="n">
        <v>107</v>
      </c>
      <c r="B408" t="inlineStr">
        <is>
          <t>Count Number of Bad Pairs</t>
        </is>
      </c>
      <c r="C408">
        <f>HYPERLINK("https://leetcode.com/problems/count-number-of-bad-pairs","count-number-of-bad-pairs")</f>
        <v/>
      </c>
      <c r="D408" t="inlineStr">
        <is>
          <t>-</t>
        </is>
      </c>
      <c r="E408" t="inlineStr">
        <is>
          <t>Medium</t>
        </is>
      </c>
      <c r="F408" t="n">
        <v>8</v>
      </c>
      <c r="G408" t="inlineStr">
        <is>
          <t>Hashing</t>
        </is>
      </c>
      <c r="H408" t="inlineStr">
        <is>
          <t>Hashing With Prefix Sum</t>
        </is>
      </c>
      <c r="I408" t="inlineStr">
        <is>
          <t>Leetcode</t>
        </is>
      </c>
      <c r="J408" t="inlineStr">
        <is>
          <t>Problem</t>
        </is>
      </c>
    </row>
    <row r="409">
      <c r="A409" t="n">
        <v>92</v>
      </c>
      <c r="B409" t="inlineStr">
        <is>
          <t>Continuous Subarray Sum</t>
        </is>
      </c>
      <c r="C409">
        <f>HYPERLINK("https://leetcode.com/problems/continuous-subarray-sum","continuous-subarray-sum")</f>
        <v/>
      </c>
      <c r="D409" t="inlineStr">
        <is>
          <t>-</t>
        </is>
      </c>
      <c r="E409" t="inlineStr">
        <is>
          <t>Medium</t>
        </is>
      </c>
      <c r="F409" t="n">
        <v>8</v>
      </c>
      <c r="G409" t="inlineStr">
        <is>
          <t>Hashing</t>
        </is>
      </c>
      <c r="H409" t="inlineStr">
        <is>
          <t>Hashing With Prefix Sum</t>
        </is>
      </c>
      <c r="I409" t="inlineStr">
        <is>
          <t>Leetcode</t>
        </is>
      </c>
      <c r="J409" t="inlineStr">
        <is>
          <t>Problem</t>
        </is>
      </c>
    </row>
    <row r="410">
      <c r="A410" t="n">
        <v>110</v>
      </c>
      <c r="B410" t="inlineStr">
        <is>
          <t>Count of Interesting Subarrays</t>
        </is>
      </c>
      <c r="C410">
        <f>HYPERLINK("https://leetcode.com/problems/count-of-interesting-subarrays/description/","count-of-interesting-subarrays")</f>
        <v/>
      </c>
      <c r="D410" t="inlineStr">
        <is>
          <t>-</t>
        </is>
      </c>
      <c r="E410" t="inlineStr">
        <is>
          <t>Medium</t>
        </is>
      </c>
      <c r="F410" t="n">
        <v>8</v>
      </c>
      <c r="G410" t="inlineStr">
        <is>
          <t>Hashing</t>
        </is>
      </c>
      <c r="H410" t="inlineStr">
        <is>
          <t>Hashing With Prefix Sum</t>
        </is>
      </c>
      <c r="I410" t="inlineStr">
        <is>
          <t>Leetcode</t>
        </is>
      </c>
      <c r="J410" t="inlineStr">
        <is>
          <t>Problem</t>
        </is>
      </c>
    </row>
    <row r="411">
      <c r="A411" t="n">
        <v>108</v>
      </c>
      <c r="B411" t="inlineStr">
        <is>
          <t>Count Number of Nice Subarrays</t>
        </is>
      </c>
      <c r="C411">
        <f>HYPERLINK("https://leetcode.com/problems/count-number-of-nice-subarrays/description/","count-number-of-nice-subarrays")</f>
        <v/>
      </c>
      <c r="D411" t="inlineStr">
        <is>
          <t>-</t>
        </is>
      </c>
      <c r="E411" t="inlineStr">
        <is>
          <t>Medium</t>
        </is>
      </c>
      <c r="F411" t="n">
        <v>8</v>
      </c>
      <c r="G411" t="inlineStr">
        <is>
          <t>Hashing</t>
        </is>
      </c>
      <c r="H411" t="inlineStr">
        <is>
          <t>Hashing With Prefix Sum</t>
        </is>
      </c>
      <c r="I411" t="inlineStr">
        <is>
          <t>Leetcode</t>
        </is>
      </c>
      <c r="J411" t="inlineStr">
        <is>
          <t>Problem</t>
        </is>
      </c>
    </row>
    <row r="412">
      <c r="A412" t="n">
        <v>103</v>
      </c>
      <c r="B412" t="inlineStr">
        <is>
          <t>Count Beautiful Substrings II</t>
        </is>
      </c>
      <c r="C412">
        <f>HYPERLINK("https://leetcode.com/problems/count-beautiful-substrings-ii/description/","count-beautiful-substrings-ii")</f>
        <v/>
      </c>
      <c r="D412" t="inlineStr">
        <is>
          <t>-</t>
        </is>
      </c>
      <c r="E412" t="inlineStr">
        <is>
          <t>Hard</t>
        </is>
      </c>
      <c r="F412" t="n">
        <v>8</v>
      </c>
      <c r="G412" t="inlineStr">
        <is>
          <t>Hashing</t>
        </is>
      </c>
      <c r="H412" t="inlineStr">
        <is>
          <t>Hashing With Prefix Sum</t>
        </is>
      </c>
      <c r="I412" t="inlineStr">
        <is>
          <t>Leetcode</t>
        </is>
      </c>
      <c r="J412" t="inlineStr">
        <is>
          <t>Problem</t>
        </is>
      </c>
    </row>
    <row r="413">
      <c r="A413" t="n">
        <v>816</v>
      </c>
      <c r="B413" t="inlineStr">
        <is>
          <t>Sum of Digit Differences of All Pairs</t>
        </is>
      </c>
      <c r="C413">
        <f>HYPERLINK("https://leetcode.com/problems/sum-of-digit-differences-of-all-pairs/description/","sum-of-digit-differences-of-all-pairs")</f>
        <v/>
      </c>
      <c r="D413" t="inlineStr">
        <is>
          <t>-</t>
        </is>
      </c>
      <c r="E413" t="inlineStr">
        <is>
          <t>Medium</t>
        </is>
      </c>
      <c r="F413" t="n">
        <v>8</v>
      </c>
      <c r="G413" t="inlineStr">
        <is>
          <t>Hashing</t>
        </is>
      </c>
      <c r="H413" t="inlineStr">
        <is>
          <t>Hashing With Prefix Sum</t>
        </is>
      </c>
      <c r="I413" t="inlineStr">
        <is>
          <t>Leetcode</t>
        </is>
      </c>
      <c r="J413" t="inlineStr">
        <is>
          <t>Problem</t>
        </is>
      </c>
    </row>
    <row r="414">
      <c r="A414" t="n">
        <v>52</v>
      </c>
      <c r="B414" t="inlineStr">
        <is>
          <t>Binary Subarrays with Sum</t>
        </is>
      </c>
      <c r="C414">
        <f>HYPERLINK("https://leetcode.com/problems/binary-subarrays-with-sum/description/","binary-subarrays-with-sum")</f>
        <v/>
      </c>
      <c r="D414" t="inlineStr">
        <is>
          <t>-</t>
        </is>
      </c>
      <c r="E414" t="inlineStr">
        <is>
          <t>Medium</t>
        </is>
      </c>
      <c r="F414" t="n">
        <v>8</v>
      </c>
      <c r="G414" t="inlineStr">
        <is>
          <t>Hashing</t>
        </is>
      </c>
      <c r="H414" t="inlineStr">
        <is>
          <t>Hashing With Prefix Sum</t>
        </is>
      </c>
      <c r="I414" t="inlineStr">
        <is>
          <t>Leetcode</t>
        </is>
      </c>
      <c r="J414" t="inlineStr">
        <is>
          <t>Problem</t>
        </is>
      </c>
    </row>
    <row r="415">
      <c r="A415" t="n">
        <v>577</v>
      </c>
      <c r="B415" t="inlineStr">
        <is>
          <t>Number of Wonderful Substrings</t>
        </is>
      </c>
      <c r="C415">
        <f>HYPERLINK("https://leetcode.com/problems/number-of-wonderful-substrings/description/","number-of-wonderful-substrings")</f>
        <v/>
      </c>
      <c r="D415" t="inlineStr">
        <is>
          <t>-</t>
        </is>
      </c>
      <c r="E415" t="inlineStr">
        <is>
          <t>Medium</t>
        </is>
      </c>
      <c r="F415" t="n">
        <v>8</v>
      </c>
      <c r="G415" t="inlineStr">
        <is>
          <t>Hashing</t>
        </is>
      </c>
      <c r="H415" t="inlineStr">
        <is>
          <t>Hashing With Prefix Sum</t>
        </is>
      </c>
      <c r="I415" t="inlineStr">
        <is>
          <t>Leetcode</t>
        </is>
      </c>
      <c r="J415" t="inlineStr">
        <is>
          <t>Problem</t>
        </is>
      </c>
    </row>
    <row r="416">
      <c r="A416" t="n">
        <v>278</v>
      </c>
      <c r="B416" t="inlineStr">
        <is>
          <t>Count the Number of Beautiful Subarrays</t>
        </is>
      </c>
      <c r="C416">
        <f>HYPERLINK("https://leetcode.com/problems/count-the-number-of-beautiful-subarrays/description/","count-the-number-of-beautiful-subarrays")</f>
        <v/>
      </c>
      <c r="D416" t="inlineStr">
        <is>
          <t>-</t>
        </is>
      </c>
      <c r="E416" t="inlineStr">
        <is>
          <t>Medium</t>
        </is>
      </c>
      <c r="F416" t="n">
        <v>8</v>
      </c>
      <c r="G416" t="inlineStr">
        <is>
          <t>Hashing</t>
        </is>
      </c>
      <c r="H416" t="inlineStr">
        <is>
          <t>Hashing With Prefix Sum</t>
        </is>
      </c>
      <c r="I416" t="inlineStr">
        <is>
          <t>Leetcode</t>
        </is>
      </c>
      <c r="J416" t="inlineStr">
        <is>
          <t>Problem</t>
        </is>
      </c>
    </row>
    <row r="417">
      <c r="A417" t="n">
        <v>570</v>
      </c>
      <c r="B417" t="inlineStr">
        <is>
          <t>Number of Submatrices That Sum to Target</t>
        </is>
      </c>
      <c r="C417">
        <f>HYPERLINK("https://leetcode.com/problems/number-of-submatrices-that-sum-to-target/description/","number-of-submatrices-that-sum-to-target")</f>
        <v/>
      </c>
      <c r="D417" t="inlineStr">
        <is>
          <t>-</t>
        </is>
      </c>
      <c r="E417" t="inlineStr">
        <is>
          <t>Hard</t>
        </is>
      </c>
      <c r="F417" t="n">
        <v>8</v>
      </c>
      <c r="G417" t="inlineStr">
        <is>
          <t>Hashing</t>
        </is>
      </c>
      <c r="H417" t="inlineStr">
        <is>
          <t>Hashing With Prefix Sum</t>
        </is>
      </c>
      <c r="I417" t="inlineStr">
        <is>
          <t>Leetcode</t>
        </is>
      </c>
      <c r="J417" t="inlineStr">
        <is>
          <t>Problem</t>
        </is>
      </c>
    </row>
    <row r="418">
      <c r="A418" t="n">
        <v>117</v>
      </c>
      <c r="B418" t="inlineStr">
        <is>
          <t>Count Subarrays with Median K</t>
        </is>
      </c>
      <c r="C418">
        <f>HYPERLINK("https://leetcode.com/problems/count-subarrays-with-median-k/description/","count-subarrays-with-median-k")</f>
        <v/>
      </c>
      <c r="D418" t="inlineStr">
        <is>
          <t>-</t>
        </is>
      </c>
      <c r="E418" t="inlineStr">
        <is>
          <t>Hard</t>
        </is>
      </c>
      <c r="F418" t="n">
        <v>8</v>
      </c>
      <c r="G418" t="inlineStr">
        <is>
          <t>Hashing</t>
        </is>
      </c>
      <c r="H418" t="inlineStr">
        <is>
          <t>Hashing With Prefix Sum</t>
        </is>
      </c>
      <c r="I418" t="inlineStr">
        <is>
          <t>Leetcode</t>
        </is>
      </c>
      <c r="J418" t="inlineStr">
        <is>
          <t>Problem</t>
        </is>
      </c>
    </row>
    <row r="419">
      <c r="A419" t="n">
        <v>726</v>
      </c>
      <c r="B419" t="inlineStr">
        <is>
          <t>Substrings of Size Three with Distinct Characters</t>
        </is>
      </c>
      <c r="C419">
        <f>HYPERLINK("https://leetcode.com/problems/substrings-of-size-three-with-distinct-characters","substrings-of-size-three-with-distinct-characters")</f>
        <v/>
      </c>
      <c r="D419" t="inlineStr">
        <is>
          <t>-</t>
        </is>
      </c>
      <c r="E419" t="inlineStr">
        <is>
          <t>Easy</t>
        </is>
      </c>
      <c r="F419" t="n">
        <v>9</v>
      </c>
      <c r="G419" t="inlineStr">
        <is>
          <t>Sliding Window</t>
        </is>
      </c>
      <c r="H419" t="inlineStr">
        <is>
          <t>Fixed Size Sliding-Window</t>
        </is>
      </c>
      <c r="I419" t="inlineStr">
        <is>
          <t>Leetcode</t>
        </is>
      </c>
      <c r="J419" t="inlineStr">
        <is>
          <t>Problem</t>
        </is>
      </c>
    </row>
    <row r="420">
      <c r="A420" t="n">
        <v>157</v>
      </c>
      <c r="B420" t="inlineStr">
        <is>
          <t>Find All Anagrams in a String</t>
        </is>
      </c>
      <c r="C420">
        <f>HYPERLINK("https://leetcode.com/problems/find-all-anagrams-in-a-string/description/","find-all-anagrams-in-a-string")</f>
        <v/>
      </c>
      <c r="D420" t="inlineStr">
        <is>
          <t>-</t>
        </is>
      </c>
      <c r="E420" t="inlineStr">
        <is>
          <t>Medium</t>
        </is>
      </c>
      <c r="F420" t="n">
        <v>9</v>
      </c>
      <c r="G420" t="inlineStr">
        <is>
          <t>Sliding Window</t>
        </is>
      </c>
      <c r="H420" t="inlineStr">
        <is>
          <t>Fixed Size Sliding-Window</t>
        </is>
      </c>
      <c r="I420" t="inlineStr">
        <is>
          <t>Leetcode</t>
        </is>
      </c>
      <c r="J420" t="inlineStr">
        <is>
          <t>Problem</t>
        </is>
      </c>
    </row>
    <row r="421">
      <c r="A421" t="n">
        <v>597</v>
      </c>
      <c r="B421" t="inlineStr">
        <is>
          <t>Permutation in String</t>
        </is>
      </c>
      <c r="C421">
        <f>HYPERLINK("https://leetcode.com/problems/permutation-in-string/description/","permutation-in-string")</f>
        <v/>
      </c>
      <c r="D421" t="inlineStr">
        <is>
          <t>-</t>
        </is>
      </c>
      <c r="E421" t="inlineStr">
        <is>
          <t>Medium</t>
        </is>
      </c>
      <c r="F421" t="n">
        <v>9</v>
      </c>
      <c r="G421" t="inlineStr">
        <is>
          <t>Sliding Window</t>
        </is>
      </c>
      <c r="H421" t="inlineStr">
        <is>
          <t>Fixed Size Sliding-Window</t>
        </is>
      </c>
      <c r="I421" t="inlineStr">
        <is>
          <t>Leetcode</t>
        </is>
      </c>
      <c r="J421" t="inlineStr">
        <is>
          <t>Problem</t>
        </is>
      </c>
    </row>
    <row r="422">
      <c r="A422" t="n">
        <v>428</v>
      </c>
      <c r="B422" t="inlineStr">
        <is>
          <t>Check If a String Contains All Binary Codes of Size K</t>
        </is>
      </c>
      <c r="C422">
        <f>HYPERLINK("https://leetcode.com/problems/check-if-a-string-contains-all-binary-codes-of-size-k/description/","check-if-a-string-contains-all-binary-codes-of-size-k")</f>
        <v/>
      </c>
      <c r="D422" t="inlineStr">
        <is>
          <t>-</t>
        </is>
      </c>
      <c r="E422" t="inlineStr">
        <is>
          <t>Medium</t>
        </is>
      </c>
      <c r="F422" t="n">
        <v>9</v>
      </c>
      <c r="G422" t="inlineStr">
        <is>
          <t>Sliding Window</t>
        </is>
      </c>
      <c r="H422" t="inlineStr">
        <is>
          <t>Fixed Size Sliding-Window</t>
        </is>
      </c>
      <c r="I422" t="inlineStr">
        <is>
          <t>Leetcode</t>
        </is>
      </c>
      <c r="J422" t="inlineStr">
        <is>
          <t>Problem</t>
        </is>
      </c>
    </row>
    <row r="423">
      <c r="A423" t="n">
        <v>494</v>
      </c>
      <c r="B423" t="inlineStr">
        <is>
          <t>Maximum Number of Vowels in a Substring of Given Length</t>
        </is>
      </c>
      <c r="C423">
        <f>HYPERLINK("https://leetcode.com/problems/maximum-number-of-vowels-in-a-substring-of-given-length/description/","maximum-number-of-vowels-in-a-substring-of-given-length")</f>
        <v/>
      </c>
      <c r="D423" t="inlineStr">
        <is>
          <t>-</t>
        </is>
      </c>
      <c r="E423" t="inlineStr">
        <is>
          <t>Medium</t>
        </is>
      </c>
      <c r="F423" t="n">
        <v>9</v>
      </c>
      <c r="G423" t="inlineStr">
        <is>
          <t>Sliding Window</t>
        </is>
      </c>
      <c r="H423" t="inlineStr">
        <is>
          <t>Fixed Size Sliding-Window</t>
        </is>
      </c>
      <c r="I423" t="inlineStr">
        <is>
          <t>Leetcode</t>
        </is>
      </c>
      <c r="J423" t="inlineStr">
        <is>
          <t>Problem</t>
        </is>
      </c>
    </row>
    <row r="424">
      <c r="A424" t="n">
        <v>312</v>
      </c>
      <c r="B424" t="inlineStr">
        <is>
          <t>Maximum Average Subarray I</t>
        </is>
      </c>
      <c r="C424">
        <f>HYPERLINK("https://leetcode.com/problems/maximum-average-subarray-i/description/","maximum-average-subarray-i")</f>
        <v/>
      </c>
      <c r="D424" t="inlineStr">
        <is>
          <t>-</t>
        </is>
      </c>
      <c r="E424" t="inlineStr">
        <is>
          <t>Easy</t>
        </is>
      </c>
      <c r="F424" t="n">
        <v>9</v>
      </c>
      <c r="G424" t="inlineStr">
        <is>
          <t>Sliding Window</t>
        </is>
      </c>
      <c r="H424" t="inlineStr">
        <is>
          <t>Fixed Size Sliding-Window</t>
        </is>
      </c>
      <c r="I424" t="inlineStr">
        <is>
          <t>Leetcode</t>
        </is>
      </c>
      <c r="J424" t="inlineStr">
        <is>
          <t>Problem</t>
        </is>
      </c>
    </row>
    <row r="425">
      <c r="A425" t="n">
        <v>566</v>
      </c>
      <c r="B425" t="inlineStr">
        <is>
          <t>Number of Sub-arrays of Size K and Average Greater than or Equal to Threshold</t>
        </is>
      </c>
      <c r="C425">
        <f>HYPERLINK("https://leetcode.com/problems/number-of-sub-arrays-of-size-k-and-average-greater-than-or-equal-to-threshold/description/","number-of-sub-arrays-of-size-k-and-average-greater-than-or-equal-to-threshold")</f>
        <v/>
      </c>
      <c r="D425" t="inlineStr">
        <is>
          <t>-</t>
        </is>
      </c>
      <c r="E425" t="inlineStr">
        <is>
          <t>Medium</t>
        </is>
      </c>
      <c r="F425" t="n">
        <v>9</v>
      </c>
      <c r="G425" t="inlineStr">
        <is>
          <t>Sliding Window</t>
        </is>
      </c>
      <c r="H425" t="inlineStr">
        <is>
          <t>Fixed Size Sliding-Window</t>
        </is>
      </c>
      <c r="I425" t="inlineStr">
        <is>
          <t>Leetcode</t>
        </is>
      </c>
      <c r="J425" t="inlineStr">
        <is>
          <t>Problem</t>
        </is>
      </c>
    </row>
    <row r="426">
      <c r="A426" t="n">
        <v>226</v>
      </c>
      <c r="B426" t="inlineStr">
        <is>
          <t>K Radius Subarray Averages</t>
        </is>
      </c>
      <c r="C426">
        <f>HYPERLINK("https://leetcode.com/problems/k-radius-subarray-averages/description/","k-radius-subarray-averages")</f>
        <v/>
      </c>
      <c r="D426" t="inlineStr">
        <is>
          <t>-</t>
        </is>
      </c>
      <c r="E426" t="inlineStr">
        <is>
          <t>Medium</t>
        </is>
      </c>
      <c r="F426" t="n">
        <v>9</v>
      </c>
      <c r="G426" t="inlineStr">
        <is>
          <t>Sliding Window</t>
        </is>
      </c>
      <c r="H426" t="inlineStr">
        <is>
          <t>Fixed Size Sliding-Window</t>
        </is>
      </c>
      <c r="I426" t="inlineStr">
        <is>
          <t>Leetcode</t>
        </is>
      </c>
      <c r="J426" t="inlineStr">
        <is>
          <t>Problem</t>
        </is>
      </c>
    </row>
    <row r="427">
      <c r="A427" t="n">
        <v>349</v>
      </c>
      <c r="B427" t="inlineStr">
        <is>
          <t>Maximum Sum of Distinct Subarrays With Length K</t>
        </is>
      </c>
      <c r="C427">
        <f>HYPERLINK("https://leetcode.com/problems/maximum-sum-of-distinct-subarrays-with-length-k/description/","maximum-sum-of-distinct-subarrays-with-length-k")</f>
        <v/>
      </c>
      <c r="D427" t="inlineStr">
        <is>
          <t>-</t>
        </is>
      </c>
      <c r="E427" t="inlineStr">
        <is>
          <t>Medium</t>
        </is>
      </c>
      <c r="F427" t="n">
        <v>9</v>
      </c>
      <c r="G427" t="inlineStr">
        <is>
          <t>Sliding Window</t>
        </is>
      </c>
      <c r="H427" t="inlineStr">
        <is>
          <t>Fixed Size Sliding-Window</t>
        </is>
      </c>
      <c r="I427" t="inlineStr">
        <is>
          <t>Leetcode</t>
        </is>
      </c>
      <c r="J427" t="inlineStr">
        <is>
          <t>Problem</t>
        </is>
      </c>
    </row>
    <row r="428">
      <c r="A428" t="n">
        <v>869</v>
      </c>
      <c r="B428" t="inlineStr">
        <is>
          <t>Sliding Subarray Beauty</t>
        </is>
      </c>
      <c r="C428">
        <f>HYPERLINK("https://leetcode.com/problems/sliding-subarray-beauty/description/","sliding-subarray-beauty")</f>
        <v/>
      </c>
      <c r="D428" t="inlineStr">
        <is>
          <t>-</t>
        </is>
      </c>
      <c r="E428" t="inlineStr">
        <is>
          <t>Medium</t>
        </is>
      </c>
      <c r="F428" t="n">
        <v>9</v>
      </c>
      <c r="G428" t="inlineStr">
        <is>
          <t>Sliding Window</t>
        </is>
      </c>
      <c r="H428" t="inlineStr">
        <is>
          <t>Fixed Size Sliding-Window</t>
        </is>
      </c>
      <c r="I428" t="inlineStr">
        <is>
          <t>Leetcode</t>
        </is>
      </c>
      <c r="J428" t="inlineStr">
        <is>
          <t>Problem</t>
        </is>
      </c>
    </row>
    <row r="429">
      <c r="A429" t="n">
        <v>496</v>
      </c>
      <c r="B429" t="inlineStr">
        <is>
          <t>Maximum Points You Can Obtain from Cards</t>
        </is>
      </c>
      <c r="C429">
        <f>HYPERLINK("https://leetcode.com/problems/maximum-points-you-can-obtain-from-cards/","maximum-points-you-can-obtain-from-cards")</f>
        <v/>
      </c>
      <c r="D429" t="inlineStr">
        <is>
          <t>-</t>
        </is>
      </c>
      <c r="E429" t="inlineStr">
        <is>
          <t>Medium</t>
        </is>
      </c>
      <c r="F429" t="n">
        <v>9</v>
      </c>
      <c r="G429" t="inlineStr">
        <is>
          <t>Sliding Window</t>
        </is>
      </c>
      <c r="H429" t="inlineStr">
        <is>
          <t>Fixed Size Sliding-Window</t>
        </is>
      </c>
      <c r="I429" t="inlineStr">
        <is>
          <t>Leetcode</t>
        </is>
      </c>
      <c r="J429" t="inlineStr">
        <is>
          <t>Problem</t>
        </is>
      </c>
    </row>
    <row r="430">
      <c r="A430" t="n">
        <v>834</v>
      </c>
      <c r="B430" t="inlineStr">
        <is>
          <t>Sliding Window Median</t>
        </is>
      </c>
      <c r="C430">
        <f>HYPERLINK("https://leetcode.com/problems/sliding-window-median/description/","sliding-window-median")</f>
        <v/>
      </c>
      <c r="D430" t="inlineStr">
        <is>
          <t>-</t>
        </is>
      </c>
      <c r="E430" t="inlineStr">
        <is>
          <t>Hard</t>
        </is>
      </c>
      <c r="F430" t="n">
        <v>9</v>
      </c>
      <c r="G430" t="inlineStr">
        <is>
          <t>Sliding Window</t>
        </is>
      </c>
      <c r="H430" t="inlineStr">
        <is>
          <t>Fixed Size Sliding-Window</t>
        </is>
      </c>
      <c r="I430" t="inlineStr">
        <is>
          <t>Leetcode</t>
        </is>
      </c>
      <c r="J430" t="inlineStr">
        <is>
          <t>Problem</t>
        </is>
      </c>
    </row>
    <row r="431">
      <c r="A431" t="n">
        <v>694</v>
      </c>
      <c r="B431" t="inlineStr">
        <is>
          <t>Sliding Window Maximum</t>
        </is>
      </c>
      <c r="C431">
        <f>HYPERLINK("https://leetcode.com/problems/sliding-window-maximum/","sliding-window-maximum")</f>
        <v/>
      </c>
      <c r="D431" t="inlineStr">
        <is>
          <t>-</t>
        </is>
      </c>
      <c r="E431" t="inlineStr">
        <is>
          <t>Hard</t>
        </is>
      </c>
      <c r="F431" t="n">
        <v>9</v>
      </c>
      <c r="G431" t="inlineStr">
        <is>
          <t>Sliding Window</t>
        </is>
      </c>
      <c r="H431" t="inlineStr">
        <is>
          <t>Fixed Size Sliding-Window</t>
        </is>
      </c>
      <c r="I431" t="inlineStr">
        <is>
          <t>Leetcode</t>
        </is>
      </c>
      <c r="J431" t="inlineStr">
        <is>
          <t>Problem</t>
        </is>
      </c>
    </row>
    <row r="432">
      <c r="A432" t="n">
        <v>485</v>
      </c>
      <c r="B432" t="inlineStr">
        <is>
          <t>Max Value of Equation</t>
        </is>
      </c>
      <c r="C432">
        <f>HYPERLINK("https://leetcode.com/problems/max-value-of-equation/description/","max-value-of-equation")</f>
        <v/>
      </c>
      <c r="D432" t="inlineStr">
        <is>
          <t>-</t>
        </is>
      </c>
      <c r="E432" t="inlineStr">
        <is>
          <t>Hard</t>
        </is>
      </c>
      <c r="F432" t="n">
        <v>9</v>
      </c>
      <c r="G432" t="inlineStr">
        <is>
          <t>Sliding Window</t>
        </is>
      </c>
      <c r="H432" t="inlineStr">
        <is>
          <t>Fixed Size Sliding-Window</t>
        </is>
      </c>
      <c r="I432" t="inlineStr">
        <is>
          <t>Leetcode</t>
        </is>
      </c>
      <c r="J432" t="inlineStr">
        <is>
          <t>Problem</t>
        </is>
      </c>
    </row>
    <row r="433">
      <c r="A433" t="n">
        <v>792</v>
      </c>
      <c r="B433" t="inlineStr">
        <is>
          <t>Maximum Sum of 3 Non-Overlapping Subarrays</t>
        </is>
      </c>
      <c r="C433">
        <f>HYPERLINK("https://leetcode.com/problems/maximum-sum-of-3-non-overlapping-subarrays/description/","maximum-sum-of-3-non-overlapping-subarrays")</f>
        <v/>
      </c>
      <c r="D433" t="inlineStr">
        <is>
          <t>-</t>
        </is>
      </c>
      <c r="E433" t="inlineStr">
        <is>
          <t>Hard</t>
        </is>
      </c>
      <c r="F433" t="n">
        <v>9</v>
      </c>
      <c r="G433" t="inlineStr">
        <is>
          <t>Sliding Window</t>
        </is>
      </c>
      <c r="H433" t="inlineStr">
        <is>
          <t>Fixed Size Sliding-Window</t>
        </is>
      </c>
      <c r="I433" t="inlineStr">
        <is>
          <t>Leetcode</t>
        </is>
      </c>
      <c r="J433" t="inlineStr">
        <is>
          <t>Problem</t>
        </is>
      </c>
    </row>
    <row r="434">
      <c r="A434" t="n">
        <v>270</v>
      </c>
      <c r="B434" t="inlineStr">
        <is>
          <t>Longest Substring Without Repeating Characters</t>
        </is>
      </c>
      <c r="C434">
        <f>HYPERLINK("https://leetcode.com/problems/longest-substring-without-repeating-characters/","longest-substring-without-repeating-characters")</f>
        <v/>
      </c>
      <c r="D434" t="inlineStr">
        <is>
          <t>-</t>
        </is>
      </c>
      <c r="E434" t="inlineStr">
        <is>
          <t>Medium</t>
        </is>
      </c>
      <c r="F434" t="n">
        <v>9</v>
      </c>
      <c r="G434" t="inlineStr">
        <is>
          <t>Sliding Window</t>
        </is>
      </c>
      <c r="H434" t="inlineStr">
        <is>
          <t>Dynamic Size Sliding-Window</t>
        </is>
      </c>
      <c r="I434" t="inlineStr">
        <is>
          <t>Leetcode</t>
        </is>
      </c>
      <c r="J434" t="inlineStr">
        <is>
          <t>Problem</t>
        </is>
      </c>
    </row>
    <row r="435">
      <c r="A435" t="n">
        <v>265</v>
      </c>
      <c r="B435" t="inlineStr">
        <is>
          <t>Longest Repeating Character Replacement</t>
        </is>
      </c>
      <c r="C435">
        <f>HYPERLINK("https://leetcode.com/problems/longest-repeating-character-replacement/","longest-repeating-character-replacement")</f>
        <v/>
      </c>
      <c r="D435" t="inlineStr">
        <is>
          <t>-</t>
        </is>
      </c>
      <c r="E435" t="inlineStr">
        <is>
          <t>Medium</t>
        </is>
      </c>
      <c r="F435" t="n">
        <v>9</v>
      </c>
      <c r="G435" t="inlineStr">
        <is>
          <t>Sliding Window</t>
        </is>
      </c>
      <c r="H435" t="inlineStr">
        <is>
          <t>Dynamic Size Sliding-Window</t>
        </is>
      </c>
      <c r="I435" t="inlineStr">
        <is>
          <t>Leetcode</t>
        </is>
      </c>
      <c r="J435" t="inlineStr">
        <is>
          <t>Problem</t>
        </is>
      </c>
    </row>
    <row r="436">
      <c r="A436" t="n">
        <v>493</v>
      </c>
      <c r="B436" t="inlineStr">
        <is>
          <t>Maximum Number of Occurrences of a Substring</t>
        </is>
      </c>
      <c r="C436">
        <f>HYPERLINK("https://leetcode.com/problems/maximum-number-of-occurrences-of-a-substring/description/","maximum-number-of-occurrences-of-a-substring")</f>
        <v/>
      </c>
      <c r="D436" t="inlineStr">
        <is>
          <t>-</t>
        </is>
      </c>
      <c r="E436" t="inlineStr">
        <is>
          <t>Medium</t>
        </is>
      </c>
      <c r="F436" t="n">
        <v>9</v>
      </c>
      <c r="G436" t="inlineStr">
        <is>
          <t>Sliding Window</t>
        </is>
      </c>
      <c r="H436" t="inlineStr">
        <is>
          <t>Dynamic Size Sliding-Window</t>
        </is>
      </c>
      <c r="I436" t="inlineStr">
        <is>
          <t>Leetcode</t>
        </is>
      </c>
      <c r="J436" t="inlineStr">
        <is>
          <t>Problem</t>
        </is>
      </c>
    </row>
    <row r="437">
      <c r="A437" t="n">
        <v>301</v>
      </c>
      <c r="B437" t="inlineStr">
        <is>
          <t>Max Consecutive Ones III</t>
        </is>
      </c>
      <c r="C437">
        <f>HYPERLINK("https://leetcode.com/problems/max-consecutive-ones-iii/","max-consecutive-ones-iii")</f>
        <v/>
      </c>
      <c r="D437" t="inlineStr">
        <is>
          <t>-</t>
        </is>
      </c>
      <c r="E437" t="inlineStr">
        <is>
          <t>Medium</t>
        </is>
      </c>
      <c r="F437" t="n">
        <v>9</v>
      </c>
      <c r="G437" t="inlineStr">
        <is>
          <t>Sliding Window</t>
        </is>
      </c>
      <c r="H437" t="inlineStr">
        <is>
          <t>Dynamic Size Sliding-Window</t>
        </is>
      </c>
      <c r="I437" t="inlineStr">
        <is>
          <t>Leetcode</t>
        </is>
      </c>
      <c r="J437" t="inlineStr">
        <is>
          <t>Problem</t>
        </is>
      </c>
    </row>
    <row r="438">
      <c r="A438" t="n">
        <v>124</v>
      </c>
      <c r="B438" t="inlineStr">
        <is>
          <t>Count the Number of Substrings With Dominant Ones</t>
        </is>
      </c>
      <c r="C438">
        <f>HYPERLINK("https://leetcode.com/problems/count-the-number-of-substrings-with-dominant-ones/","count-the-number-of-substrings-with-dominant-ones")</f>
        <v/>
      </c>
      <c r="D438" t="inlineStr">
        <is>
          <t>-</t>
        </is>
      </c>
      <c r="E438" t="inlineStr">
        <is>
          <t>Medium</t>
        </is>
      </c>
      <c r="F438" t="n">
        <v>9</v>
      </c>
      <c r="G438" t="inlineStr">
        <is>
          <t>Sliding Window</t>
        </is>
      </c>
      <c r="H438" t="inlineStr">
        <is>
          <t>Dynamic Size Sliding-Window</t>
        </is>
      </c>
      <c r="I438" t="inlineStr">
        <is>
          <t>Leetcode</t>
        </is>
      </c>
      <c r="J438" t="inlineStr">
        <is>
          <t>Problem</t>
        </is>
      </c>
    </row>
    <row r="439">
      <c r="A439" t="n">
        <v>531</v>
      </c>
      <c r="B439" t="inlineStr">
        <is>
          <t>Minimum Window Substring</t>
        </is>
      </c>
      <c r="C439">
        <f>HYPERLINK("https://leetcode.com/problems/minimum-window-substring/","minimum-window-substring")</f>
        <v/>
      </c>
      <c r="D439" t="inlineStr">
        <is>
          <t>-</t>
        </is>
      </c>
      <c r="E439" t="inlineStr">
        <is>
          <t>Hard</t>
        </is>
      </c>
      <c r="F439" t="n">
        <v>9</v>
      </c>
      <c r="G439" t="inlineStr">
        <is>
          <t>Sliding Window</t>
        </is>
      </c>
      <c r="H439" t="inlineStr">
        <is>
          <t>Dynamic Size Sliding-Window</t>
        </is>
      </c>
      <c r="I439" t="inlineStr">
        <is>
          <t>Leetcode</t>
        </is>
      </c>
      <c r="J439" t="inlineStr">
        <is>
          <t>Problem</t>
        </is>
      </c>
    </row>
    <row r="440">
      <c r="A440" t="n">
        <v>725</v>
      </c>
      <c r="B440" t="inlineStr">
        <is>
          <t>Substring with Concatenation of All Words</t>
        </is>
      </c>
      <c r="C440">
        <f>HYPERLINK("https://leetcode.com/problems/substring-with-concatenation-of-all-words/","substring-with-concatenation-of-all-words")</f>
        <v/>
      </c>
      <c r="D440" t="inlineStr">
        <is>
          <t>-</t>
        </is>
      </c>
      <c r="E440" t="inlineStr">
        <is>
          <t>Hard</t>
        </is>
      </c>
      <c r="F440" t="n">
        <v>9</v>
      </c>
      <c r="G440" t="inlineStr">
        <is>
          <t>Sliding Window</t>
        </is>
      </c>
      <c r="H440" t="inlineStr">
        <is>
          <t>Dynamic Size Sliding-Window</t>
        </is>
      </c>
      <c r="I440" t="inlineStr">
        <is>
          <t>Leetcode</t>
        </is>
      </c>
      <c r="J440" t="inlineStr">
        <is>
          <t>Problem</t>
        </is>
      </c>
    </row>
    <row r="441">
      <c r="A441" t="n">
        <v>526</v>
      </c>
      <c r="B441" t="inlineStr">
        <is>
          <t>Minimum Size Subarray Sum</t>
        </is>
      </c>
      <c r="C441">
        <f>HYPERLINK("https://leetcode.com/problems/minimum-size-subarray-sum/","minimum-size-subarray-sum")</f>
        <v/>
      </c>
      <c r="D441" t="inlineStr">
        <is>
          <t>-</t>
        </is>
      </c>
      <c r="E441" t="inlineStr">
        <is>
          <t>Medium</t>
        </is>
      </c>
      <c r="F441" t="n">
        <v>9</v>
      </c>
      <c r="G441" t="inlineStr">
        <is>
          <t>Sliding Window</t>
        </is>
      </c>
      <c r="H441" t="inlineStr">
        <is>
          <t>Dynamic Size Sliding-Window</t>
        </is>
      </c>
      <c r="I441" t="inlineStr">
        <is>
          <t>Leetcode</t>
        </is>
      </c>
      <c r="J441" t="inlineStr">
        <is>
          <t>Problem</t>
        </is>
      </c>
    </row>
    <row r="442">
      <c r="A442" t="n">
        <v>867</v>
      </c>
      <c r="B442" t="inlineStr">
        <is>
          <t>Longest Continuous Subarray With Absolute Diff Less Than or Equal to Limit</t>
        </is>
      </c>
      <c r="C442">
        <f>HYPERLINK("https://leetcode.com/problems/longest-continuous-subarray-with-absolute-diff-less-than-or-equal-to-limit/description/","longest-continuous-subarray-with-absolute-diff-less-than-or-equal-to-limit")</f>
        <v/>
      </c>
      <c r="D442" t="inlineStr">
        <is>
          <t>-</t>
        </is>
      </c>
      <c r="E442" t="inlineStr">
        <is>
          <t>Medium</t>
        </is>
      </c>
      <c r="F442" t="n">
        <v>9</v>
      </c>
      <c r="G442" t="inlineStr">
        <is>
          <t>Sliding Window</t>
        </is>
      </c>
      <c r="H442" t="inlineStr">
        <is>
          <t>Dynamic Size Sliding-Window</t>
        </is>
      </c>
      <c r="I442" t="inlineStr">
        <is>
          <t>Leetcode</t>
        </is>
      </c>
      <c r="J442" t="inlineStr">
        <is>
          <t>Problem</t>
        </is>
      </c>
    </row>
    <row r="443">
      <c r="A443" t="n">
        <v>203</v>
      </c>
      <c r="B443" t="inlineStr">
        <is>
          <t>Fruit Into Baskets</t>
        </is>
      </c>
      <c r="C443">
        <f>HYPERLINK("https://leetcode.com/problems/fruit-into-baskets/","fruit-into-baskets")</f>
        <v/>
      </c>
      <c r="D443" t="inlineStr">
        <is>
          <t>-</t>
        </is>
      </c>
      <c r="E443" t="inlineStr">
        <is>
          <t>Medium</t>
        </is>
      </c>
      <c r="F443" t="n">
        <v>9</v>
      </c>
      <c r="G443" t="inlineStr">
        <is>
          <t>Sliding Window</t>
        </is>
      </c>
      <c r="H443" t="inlineStr">
        <is>
          <t>Dynamic Size Sliding-Window</t>
        </is>
      </c>
      <c r="I443" t="inlineStr">
        <is>
          <t>Leetcode</t>
        </is>
      </c>
      <c r="J443" t="inlineStr">
        <is>
          <t>Problem</t>
        </is>
      </c>
    </row>
    <row r="444">
      <c r="A444" t="n">
        <v>721</v>
      </c>
      <c r="B444" t="inlineStr">
        <is>
          <t>Subarray Product Less Than K</t>
        </is>
      </c>
      <c r="C444">
        <f>HYPERLINK("https://leetcode.com/problems/subarray-product-less-than-k/","subarray-product-less-than-k")</f>
        <v/>
      </c>
      <c r="D444" t="inlineStr">
        <is>
          <t>-</t>
        </is>
      </c>
      <c r="E444" t="inlineStr">
        <is>
          <t>Medium</t>
        </is>
      </c>
      <c r="F444" t="n">
        <v>9</v>
      </c>
      <c r="G444" t="inlineStr">
        <is>
          <t>Sliding Window</t>
        </is>
      </c>
      <c r="H444" t="inlineStr">
        <is>
          <t>Dynamic Size Sliding-Window</t>
        </is>
      </c>
      <c r="I444" t="inlineStr">
        <is>
          <t>Leetcode</t>
        </is>
      </c>
      <c r="J444" t="inlineStr">
        <is>
          <t>Problem</t>
        </is>
      </c>
    </row>
    <row r="445">
      <c r="A445" t="n">
        <v>209</v>
      </c>
      <c r="B445" t="inlineStr">
        <is>
          <t>Grumpy Bookstore Owner</t>
        </is>
      </c>
      <c r="C445">
        <f>HYPERLINK("https://leetcode.com/problems/grumpy-bookstore-owner/","grumpy-bookstore-owner")</f>
        <v/>
      </c>
      <c r="D445" t="inlineStr">
        <is>
          <t>-</t>
        </is>
      </c>
      <c r="E445" t="inlineStr">
        <is>
          <t>Medium</t>
        </is>
      </c>
      <c r="F445" t="n">
        <v>9</v>
      </c>
      <c r="G445" t="inlineStr">
        <is>
          <t>Sliding Window</t>
        </is>
      </c>
      <c r="H445" t="inlineStr">
        <is>
          <t>Dynamic Size Sliding-Window</t>
        </is>
      </c>
      <c r="I445" t="inlineStr">
        <is>
          <t>Leetcode</t>
        </is>
      </c>
      <c r="J445" t="inlineStr">
        <is>
          <t>Problem</t>
        </is>
      </c>
    </row>
    <row r="446">
      <c r="A446" t="n">
        <v>540</v>
      </c>
      <c r="B446" t="inlineStr">
        <is>
          <t>Moving Stones Until Consecutive II</t>
        </is>
      </c>
      <c r="C446">
        <f>HYPERLINK("https://leetcode.com/problems/moving-stones-until-consecutive-ii/description/","moving-stones-until-consecutive-ii")</f>
        <v/>
      </c>
      <c r="D446" t="inlineStr">
        <is>
          <t>-</t>
        </is>
      </c>
      <c r="E446" t="inlineStr">
        <is>
          <t>Medium</t>
        </is>
      </c>
      <c r="F446" t="n">
        <v>9</v>
      </c>
      <c r="G446" t="inlineStr">
        <is>
          <t>Sliding Window</t>
        </is>
      </c>
      <c r="H446" t="inlineStr">
        <is>
          <t>Dynamic Size Sliding-Window</t>
        </is>
      </c>
      <c r="I446" t="inlineStr">
        <is>
          <t>Leetcode</t>
        </is>
      </c>
      <c r="J446" t="inlineStr">
        <is>
          <t>Problem</t>
        </is>
      </c>
    </row>
    <row r="447">
      <c r="A447" t="n">
        <v>108</v>
      </c>
      <c r="B447" t="inlineStr">
        <is>
          <t>Count Number of Nice Subarrays</t>
        </is>
      </c>
      <c r="C447">
        <f>HYPERLINK("https://leetcode.com/problems/count-number-of-nice-subarrays/description/","count-number-of-nice-subarrays")</f>
        <v/>
      </c>
      <c r="D447" t="inlineStr">
        <is>
          <t>-</t>
        </is>
      </c>
      <c r="E447" t="inlineStr">
        <is>
          <t>Medium</t>
        </is>
      </c>
      <c r="F447" t="n">
        <v>9</v>
      </c>
      <c r="G447" t="inlineStr">
        <is>
          <t>Sliding Window</t>
        </is>
      </c>
      <c r="H447" t="inlineStr">
        <is>
          <t>Dynamic Size Sliding-Window</t>
        </is>
      </c>
      <c r="I447" t="inlineStr">
        <is>
          <t>Leetcode</t>
        </is>
      </c>
      <c r="J447" t="inlineStr">
        <is>
          <t>Problem</t>
        </is>
      </c>
    </row>
    <row r="448">
      <c r="A448" t="n">
        <v>569</v>
      </c>
      <c r="B448" t="inlineStr">
        <is>
          <t>Number of Subarrays with Bounded Maximum</t>
        </is>
      </c>
      <c r="C448">
        <f>HYPERLINK("https://leetcode.com/problems/number-of-subarrays-with-bounded-maximum/","number-of-subarrays-with-bounded-maximum")</f>
        <v/>
      </c>
      <c r="D448" t="inlineStr">
        <is>
          <t>-</t>
        </is>
      </c>
      <c r="E448" t="inlineStr">
        <is>
          <t>Medium</t>
        </is>
      </c>
      <c r="F448" t="n">
        <v>9</v>
      </c>
      <c r="G448" t="inlineStr">
        <is>
          <t>Sliding Window</t>
        </is>
      </c>
      <c r="H448" t="inlineStr">
        <is>
          <t>Dynamic Size Sliding-Window</t>
        </is>
      </c>
      <c r="I448" t="inlineStr">
        <is>
          <t>Leetcode</t>
        </is>
      </c>
      <c r="J448" t="inlineStr">
        <is>
          <t>Problem</t>
        </is>
      </c>
    </row>
    <row r="449">
      <c r="A449" t="n">
        <v>319</v>
      </c>
      <c r="B449" t="inlineStr">
        <is>
          <t>Maximum Erasure Value</t>
        </is>
      </c>
      <c r="C449">
        <f>HYPERLINK("https://leetcode.com/problems/maximum-erasure-value/","maximum-erasure-value")</f>
        <v/>
      </c>
      <c r="D449" t="inlineStr">
        <is>
          <t>-</t>
        </is>
      </c>
      <c r="E449" t="inlineStr">
        <is>
          <t>Medium</t>
        </is>
      </c>
      <c r="F449" t="n">
        <v>9</v>
      </c>
      <c r="G449" t="inlineStr">
        <is>
          <t>Sliding Window</t>
        </is>
      </c>
      <c r="H449" t="inlineStr">
        <is>
          <t>Dynamic Size Sliding-Window</t>
        </is>
      </c>
      <c r="I449" t="inlineStr">
        <is>
          <t>Leetcode</t>
        </is>
      </c>
      <c r="J449" t="inlineStr">
        <is>
          <t>Problem</t>
        </is>
      </c>
    </row>
    <row r="450">
      <c r="A450" t="n">
        <v>267</v>
      </c>
      <c r="B450" t="inlineStr">
        <is>
          <t>Longest Subarray of 1's After Deleting One Element</t>
        </is>
      </c>
      <c r="C450">
        <f>HYPERLINK("https://leetcode.com/problems/longest-subarray-of-1s-after-deleting-one-element/","longest-subarray-of-1s-after-deleting-one-element")</f>
        <v/>
      </c>
      <c r="D450" t="inlineStr">
        <is>
          <t>-</t>
        </is>
      </c>
      <c r="E450" t="inlineStr">
        <is>
          <t>Medium</t>
        </is>
      </c>
      <c r="F450" t="n">
        <v>9</v>
      </c>
      <c r="G450" t="inlineStr">
        <is>
          <t>Sliding Window</t>
        </is>
      </c>
      <c r="H450" t="inlineStr">
        <is>
          <t>Dynamic Size Sliding-Window</t>
        </is>
      </c>
      <c r="I450" t="inlineStr">
        <is>
          <t>Leetcode</t>
        </is>
      </c>
      <c r="J450" t="inlineStr">
        <is>
          <t>Problem</t>
        </is>
      </c>
    </row>
    <row r="451">
      <c r="A451" t="n">
        <v>436</v>
      </c>
      <c r="B451" t="inlineStr">
        <is>
          <t>Count the Number of Good Subarrays</t>
        </is>
      </c>
      <c r="C451">
        <f>HYPERLINK("https://leetcode.com/problems/count-the-number-of-good-subarrays/description/","count-the-number-of-good-subarrays")</f>
        <v/>
      </c>
      <c r="D451" t="inlineStr">
        <is>
          <t>-</t>
        </is>
      </c>
      <c r="E451" t="inlineStr">
        <is>
          <t>Medium</t>
        </is>
      </c>
      <c r="F451" t="n">
        <v>9</v>
      </c>
      <c r="G451" t="inlineStr">
        <is>
          <t>Sliding Window</t>
        </is>
      </c>
      <c r="H451" t="inlineStr">
        <is>
          <t>Dynamic Size Sliding-Window</t>
        </is>
      </c>
      <c r="I451" t="inlineStr">
        <is>
          <t>Leetcode</t>
        </is>
      </c>
      <c r="J451" t="inlineStr">
        <is>
          <t>Problem</t>
        </is>
      </c>
    </row>
    <row r="452">
      <c r="A452" t="n">
        <v>375</v>
      </c>
      <c r="B452" t="inlineStr">
        <is>
          <t>Minimum Consecutive Cards to Pick Up</t>
        </is>
      </c>
      <c r="C452">
        <f>HYPERLINK("https://leetcode.com/problems/minimum-consecutive-cards-to-pick-up/description/","minimum-consecutive-cards-to-pick-up")</f>
        <v/>
      </c>
      <c r="D452" t="inlineStr">
        <is>
          <t>-</t>
        </is>
      </c>
      <c r="E452" t="inlineStr">
        <is>
          <t>Medium</t>
        </is>
      </c>
      <c r="F452" t="n">
        <v>9</v>
      </c>
      <c r="G452" t="inlineStr">
        <is>
          <t>Sliding Window</t>
        </is>
      </c>
      <c r="H452" t="inlineStr">
        <is>
          <t>Dynamic Size Sliding-Window</t>
        </is>
      </c>
      <c r="I452" t="inlineStr">
        <is>
          <t>Leetcode</t>
        </is>
      </c>
      <c r="J452" t="inlineStr">
        <is>
          <t>Problem</t>
        </is>
      </c>
    </row>
    <row r="453">
      <c r="A453" t="n">
        <v>409</v>
      </c>
      <c r="B453" t="inlineStr">
        <is>
          <t>Minimum Operations to Reduce X to Zero</t>
        </is>
      </c>
      <c r="C453">
        <f>HYPERLINK("https://leetcode.com/problems/minimum-operations-to-reduce-x-to-zero/description/","minimum-operations-to-reduce-x-to-zero")</f>
        <v/>
      </c>
      <c r="D453" t="inlineStr">
        <is>
          <t>-</t>
        </is>
      </c>
      <c r="E453" t="inlineStr">
        <is>
          <t>Medium</t>
        </is>
      </c>
      <c r="F453" t="n">
        <v>9</v>
      </c>
      <c r="G453" t="inlineStr">
        <is>
          <t>Sliding Window</t>
        </is>
      </c>
      <c r="H453" t="inlineStr">
        <is>
          <t>Dynamic Size Sliding-Window</t>
        </is>
      </c>
      <c r="I453" t="inlineStr">
        <is>
          <t>Leetcode</t>
        </is>
      </c>
      <c r="J453" t="inlineStr">
        <is>
          <t>Problem</t>
        </is>
      </c>
    </row>
    <row r="454">
      <c r="A454" t="n">
        <v>875</v>
      </c>
      <c r="B454" t="inlineStr">
        <is>
          <t>Frequency of the Most Frequent Element</t>
        </is>
      </c>
      <c r="C454">
        <f>HYPERLINK("https://leetcode.com/problems/frequency-of-the-most-frequent-element/description/","frequency-of-the-most-frequent-element")</f>
        <v/>
      </c>
      <c r="D454" t="inlineStr">
        <is>
          <t>-</t>
        </is>
      </c>
      <c r="E454" t="inlineStr">
        <is>
          <t>Medium</t>
        </is>
      </c>
      <c r="F454" t="n">
        <v>9</v>
      </c>
      <c r="G454" t="inlineStr">
        <is>
          <t>Sliding Window</t>
        </is>
      </c>
      <c r="H454" t="inlineStr">
        <is>
          <t>Dynamic Size Sliding-Window</t>
        </is>
      </c>
      <c r="I454" t="inlineStr">
        <is>
          <t>Leetcode</t>
        </is>
      </c>
      <c r="J454" t="inlineStr">
        <is>
          <t>Problem</t>
        </is>
      </c>
    </row>
    <row r="455">
      <c r="A455" t="n">
        <v>815</v>
      </c>
      <c r="B455" t="inlineStr">
        <is>
          <t>Subarrays with K Different Integers</t>
        </is>
      </c>
      <c r="C455">
        <f>HYPERLINK("https://leetcode.com/problems/subarrays-with-k-different-integers/description/","subarrays-with-k-different-integers")</f>
        <v/>
      </c>
      <c r="D455" t="inlineStr">
        <is>
          <t>-</t>
        </is>
      </c>
      <c r="E455" t="inlineStr">
        <is>
          <t>Hard</t>
        </is>
      </c>
      <c r="F455" t="n">
        <v>9</v>
      </c>
      <c r="G455" t="inlineStr">
        <is>
          <t>Sliding Window</t>
        </is>
      </c>
      <c r="H455" t="inlineStr">
        <is>
          <t>Dynamic Size Sliding-Window</t>
        </is>
      </c>
      <c r="I455" t="inlineStr">
        <is>
          <t>Leetcode</t>
        </is>
      </c>
      <c r="J455" t="inlineStr">
        <is>
          <t>Problem</t>
        </is>
      </c>
    </row>
    <row r="456">
      <c r="A456" t="n">
        <v>96</v>
      </c>
      <c r="B456" t="inlineStr">
        <is>
          <t>Convert Binary Number in a Linked List to Integer</t>
        </is>
      </c>
      <c r="C456">
        <f>HYPERLINK("https://leetcode.com/problems/convert-binary-number-in-a-linked-list-to-integer/description/","convert-binary-number-in-a-linked-list-to-integer")</f>
        <v/>
      </c>
      <c r="D456" t="inlineStr">
        <is>
          <t>-</t>
        </is>
      </c>
      <c r="E456" t="inlineStr">
        <is>
          <t>Easy</t>
        </is>
      </c>
      <c r="F456" t="n">
        <v>10</v>
      </c>
      <c r="G456" t="inlineStr">
        <is>
          <t>Linked List</t>
        </is>
      </c>
      <c r="H456" t="inlineStr">
        <is>
          <t>Linked List (Part 1)</t>
        </is>
      </c>
      <c r="I456" t="inlineStr">
        <is>
          <t>Leetcode</t>
        </is>
      </c>
      <c r="J456" t="inlineStr">
        <is>
          <t>Problem</t>
        </is>
      </c>
    </row>
    <row r="457">
      <c r="A457" t="n">
        <v>219</v>
      </c>
      <c r="B457" t="inlineStr">
        <is>
          <t>Intersection of Two Linked Lists</t>
        </is>
      </c>
      <c r="C457">
        <f>HYPERLINK("https://leetcode.com/problems/intersection-of-two-linked-lists/description/","intersection-of-two-linked-lists")</f>
        <v/>
      </c>
      <c r="D457" t="inlineStr">
        <is>
          <t>-</t>
        </is>
      </c>
      <c r="E457" t="inlineStr">
        <is>
          <t>Easy</t>
        </is>
      </c>
      <c r="F457" t="n">
        <v>10</v>
      </c>
      <c r="G457" t="inlineStr">
        <is>
          <t>Linked List</t>
        </is>
      </c>
      <c r="H457" t="inlineStr">
        <is>
          <t>Linked List (Part 1)</t>
        </is>
      </c>
      <c r="I457" t="inlineStr">
        <is>
          <t>Leetcode</t>
        </is>
      </c>
      <c r="J457" t="inlineStr">
        <is>
          <t>Problem</t>
        </is>
      </c>
    </row>
    <row r="458">
      <c r="A458" t="n">
        <v>360</v>
      </c>
      <c r="B458" t="inlineStr">
        <is>
          <t>Middle of the Linked List</t>
        </is>
      </c>
      <c r="C458">
        <f>HYPERLINK("https://leetcode.com/problems/middle-of-the-linked-list","middle-of-the-linked-list")</f>
        <v/>
      </c>
      <c r="D458" t="inlineStr">
        <is>
          <t>-</t>
        </is>
      </c>
      <c r="E458" t="inlineStr">
        <is>
          <t>Easy</t>
        </is>
      </c>
      <c r="F458" t="n">
        <v>10</v>
      </c>
      <c r="G458" t="inlineStr">
        <is>
          <t>Linked List</t>
        </is>
      </c>
      <c r="H458" t="inlineStr">
        <is>
          <t>Linked List (Part 1)</t>
        </is>
      </c>
      <c r="I458" t="inlineStr">
        <is>
          <t>Leetcode</t>
        </is>
      </c>
      <c r="J458" t="inlineStr">
        <is>
          <t>Problem</t>
        </is>
      </c>
    </row>
    <row r="459">
      <c r="A459" t="n">
        <v>253</v>
      </c>
      <c r="B459" t="inlineStr">
        <is>
          <t>Linked List Cycle</t>
        </is>
      </c>
      <c r="C459">
        <f>HYPERLINK("https://leetcode.com/problems/linked-list-cycle/","linked-list-cycle")</f>
        <v/>
      </c>
      <c r="D459" t="inlineStr">
        <is>
          <t>-</t>
        </is>
      </c>
      <c r="E459" t="inlineStr">
        <is>
          <t>Easy</t>
        </is>
      </c>
      <c r="F459" t="n">
        <v>10</v>
      </c>
      <c r="G459" t="inlineStr">
        <is>
          <t>Linked List</t>
        </is>
      </c>
      <c r="H459" t="inlineStr">
        <is>
          <t>Linked List (Part 1)</t>
        </is>
      </c>
      <c r="I459" t="inlineStr">
        <is>
          <t>Leetcode</t>
        </is>
      </c>
      <c r="J459" t="inlineStr">
        <is>
          <t>Problem</t>
        </is>
      </c>
    </row>
    <row r="460">
      <c r="A460" t="n">
        <v>254</v>
      </c>
      <c r="B460" t="inlineStr">
        <is>
          <t>Linked List Cycle II</t>
        </is>
      </c>
      <c r="C460">
        <f>HYPERLINK("https://leetcode.com/problems/linked-list-cycle-ii/","linked-list-cycle-ii")</f>
        <v/>
      </c>
      <c r="D460" t="inlineStr">
        <is>
          <t>-</t>
        </is>
      </c>
      <c r="E460" t="inlineStr">
        <is>
          <t>Medium</t>
        </is>
      </c>
      <c r="F460" t="n">
        <v>10</v>
      </c>
      <c r="G460" t="inlineStr">
        <is>
          <t>Linked List</t>
        </is>
      </c>
      <c r="H460" t="inlineStr">
        <is>
          <t>Linked List (Part 1)</t>
        </is>
      </c>
      <c r="I460" t="inlineStr">
        <is>
          <t>Leetcode</t>
        </is>
      </c>
      <c r="J460" t="inlineStr">
        <is>
          <t>Problem</t>
        </is>
      </c>
    </row>
    <row r="461">
      <c r="A461" t="n">
        <v>1473</v>
      </c>
      <c r="B461" t="inlineStr">
        <is>
          <t>Find Length of Loop</t>
        </is>
      </c>
      <c r="C461">
        <f>HYPERLINK("https://www.geeksforgeeks.org/problems/find-length-of-loop/0","Solve Problem")</f>
        <v/>
      </c>
      <c r="D461" t="inlineStr">
        <is>
          <t>-</t>
        </is>
      </c>
      <c r="E461" t="inlineStr">
        <is>
          <t>Easy</t>
        </is>
      </c>
      <c r="F461" t="n">
        <v>10</v>
      </c>
      <c r="G461" t="inlineStr">
        <is>
          <t>Linked List</t>
        </is>
      </c>
      <c r="H461" t="inlineStr">
        <is>
          <t>Linked List (Part 1)</t>
        </is>
      </c>
      <c r="I461" t="inlineStr">
        <is>
          <t>Geeksforgeeks</t>
        </is>
      </c>
      <c r="J461" t="inlineStr">
        <is>
          <t>Problem</t>
        </is>
      </c>
    </row>
    <row r="462">
      <c r="A462" t="n">
        <v>652</v>
      </c>
      <c r="B462" t="inlineStr">
        <is>
          <t>Reverse Linked List</t>
        </is>
      </c>
      <c r="C462">
        <f>HYPERLINK("https://leetcode.com/problems/reverse-linked-list","reverse-linked-list")</f>
        <v/>
      </c>
      <c r="D462" t="inlineStr">
        <is>
          <t>-</t>
        </is>
      </c>
      <c r="E462" t="inlineStr">
        <is>
          <t>Easy</t>
        </is>
      </c>
      <c r="F462" t="n">
        <v>10</v>
      </c>
      <c r="G462" t="inlineStr">
        <is>
          <t>Linked List</t>
        </is>
      </c>
      <c r="H462" t="inlineStr">
        <is>
          <t>Linked List (Part 1)</t>
        </is>
      </c>
      <c r="I462" t="inlineStr">
        <is>
          <t>Leetcode</t>
        </is>
      </c>
      <c r="J462" t="inlineStr">
        <is>
          <t>Problem</t>
        </is>
      </c>
    </row>
    <row r="463">
      <c r="A463" t="n">
        <v>805</v>
      </c>
      <c r="B463" t="inlineStr">
        <is>
          <t>Palindrome Linked List</t>
        </is>
      </c>
      <c r="C463">
        <f>HYPERLINK("https://leetcode.com/problems/palindrome-linked-list","palindrome-linked-list")</f>
        <v/>
      </c>
      <c r="D463" t="inlineStr">
        <is>
          <t>-</t>
        </is>
      </c>
      <c r="E463" t="inlineStr">
        <is>
          <t>Easy</t>
        </is>
      </c>
      <c r="F463" t="n">
        <v>10</v>
      </c>
      <c r="G463" t="inlineStr">
        <is>
          <t>Linked List</t>
        </is>
      </c>
      <c r="H463" t="inlineStr">
        <is>
          <t>Linked List (Part 1)</t>
        </is>
      </c>
      <c r="I463" t="inlineStr">
        <is>
          <t>Leetcode</t>
        </is>
      </c>
      <c r="J463" t="inlineStr">
        <is>
          <t>Problem</t>
        </is>
      </c>
    </row>
    <row r="464">
      <c r="A464" t="n">
        <v>653</v>
      </c>
      <c r="B464" t="inlineStr">
        <is>
          <t>Reverse Nodes in k-Group</t>
        </is>
      </c>
      <c r="C464">
        <f>HYPERLINK("https://leetcode.com/problems/reverse-nodes-in-k-group","reverse-nodes-in-k-group")</f>
        <v/>
      </c>
      <c r="D464" t="inlineStr">
        <is>
          <t>-</t>
        </is>
      </c>
      <c r="E464" t="inlineStr">
        <is>
          <t>Hard</t>
        </is>
      </c>
      <c r="F464" t="n">
        <v>10</v>
      </c>
      <c r="G464" t="inlineStr">
        <is>
          <t>Linked List</t>
        </is>
      </c>
      <c r="H464" t="inlineStr">
        <is>
          <t>Linked List (Part 1)</t>
        </is>
      </c>
      <c r="I464" t="inlineStr">
        <is>
          <t>Leetcode</t>
        </is>
      </c>
      <c r="J464" t="inlineStr">
        <is>
          <t>Problem</t>
        </is>
      </c>
    </row>
    <row r="465">
      <c r="A465" t="n">
        <v>580</v>
      </c>
      <c r="B465" t="inlineStr">
        <is>
          <t>Odd Even Linked List</t>
        </is>
      </c>
      <c r="C465">
        <f>HYPERLINK("https://leetcode.com/problems/odd-even-linked-list/","odd-even-linked-list")</f>
        <v/>
      </c>
      <c r="D465" t="inlineStr">
        <is>
          <t>-</t>
        </is>
      </c>
      <c r="E465" t="inlineStr">
        <is>
          <t>Easy</t>
        </is>
      </c>
      <c r="F465" t="n">
        <v>10</v>
      </c>
      <c r="G465" t="inlineStr">
        <is>
          <t>Linked List</t>
        </is>
      </c>
      <c r="H465" t="inlineStr">
        <is>
          <t>Linked List (Part 1)</t>
        </is>
      </c>
      <c r="I465" t="inlineStr">
        <is>
          <t>Leetcode</t>
        </is>
      </c>
      <c r="J465" t="inlineStr">
        <is>
          <t>Problem</t>
        </is>
      </c>
    </row>
    <row r="466">
      <c r="A466" t="n">
        <v>637</v>
      </c>
      <c r="B466" t="inlineStr">
        <is>
          <t>Remove Duplicates from Sorted List</t>
        </is>
      </c>
      <c r="C466">
        <f>HYPERLINK("https://leetcode.com/problems/remove-duplicates-from-sorted-list/description/","remove-duplicates-from-sorted-list")</f>
        <v/>
      </c>
      <c r="D466" t="inlineStr">
        <is>
          <t>-</t>
        </is>
      </c>
      <c r="E466" t="inlineStr">
        <is>
          <t>Easy</t>
        </is>
      </c>
      <c r="F466" t="n">
        <v>10</v>
      </c>
      <c r="G466" t="inlineStr">
        <is>
          <t>Linked List</t>
        </is>
      </c>
      <c r="H466" t="inlineStr">
        <is>
          <t>Linked List (Part 1)</t>
        </is>
      </c>
      <c r="I466" t="inlineStr">
        <is>
          <t>Leetcode</t>
        </is>
      </c>
      <c r="J466" t="inlineStr">
        <is>
          <t>Problem</t>
        </is>
      </c>
    </row>
    <row r="467">
      <c r="A467" t="n">
        <v>641</v>
      </c>
      <c r="B467" t="inlineStr">
        <is>
          <t>Remove Nth Node From End of List</t>
        </is>
      </c>
      <c r="C467">
        <f>HYPERLINK("https://leetcode.com/problems/remove-nth-node-from-end-of-list/description/","remove-nth-node-from-end-of-list")</f>
        <v/>
      </c>
      <c r="D467" t="inlineStr">
        <is>
          <t>-</t>
        </is>
      </c>
      <c r="E467" t="inlineStr">
        <is>
          <t>Medium</t>
        </is>
      </c>
      <c r="F467" t="n">
        <v>10</v>
      </c>
      <c r="G467" t="inlineStr">
        <is>
          <t>Linked List</t>
        </is>
      </c>
      <c r="H467" t="inlineStr">
        <is>
          <t>Linked List (Part 1)</t>
        </is>
      </c>
      <c r="I467" t="inlineStr">
        <is>
          <t>Leetcode</t>
        </is>
      </c>
      <c r="J467" t="inlineStr">
        <is>
          <t>Problem</t>
        </is>
      </c>
    </row>
    <row r="468">
      <c r="A468" t="n">
        <v>136</v>
      </c>
      <c r="B468" t="inlineStr">
        <is>
          <t>Delete the Middle Node of a Linked List</t>
        </is>
      </c>
      <c r="C468">
        <f>HYPERLINK("https://leetcode.com/problems/delete-the-middle-node-of-a-linked-list/description/","delete-the-middle-node-of-a-linked-list")</f>
        <v/>
      </c>
      <c r="D468" t="inlineStr">
        <is>
          <t>-</t>
        </is>
      </c>
      <c r="E468" t="inlineStr">
        <is>
          <t>Medium</t>
        </is>
      </c>
      <c r="F468" t="n">
        <v>10</v>
      </c>
      <c r="G468" t="inlineStr">
        <is>
          <t>Linked List</t>
        </is>
      </c>
      <c r="H468" t="inlineStr">
        <is>
          <t>Linked List (Part 1)</t>
        </is>
      </c>
      <c r="I468" t="inlineStr">
        <is>
          <t>Leetcode</t>
        </is>
      </c>
      <c r="J468" t="inlineStr">
        <is>
          <t>Problem</t>
        </is>
      </c>
    </row>
    <row r="469">
      <c r="A469" t="n">
        <v>1449</v>
      </c>
      <c r="B469" t="inlineStr">
        <is>
          <t>Add 1 to a Linked List Number</t>
        </is>
      </c>
      <c r="C469">
        <f>HYPERLINK("https://www.geeksforgeeks.org/problems/add-1-to-a-number-represented-as-linked-list/0","Solve Problem")</f>
        <v/>
      </c>
      <c r="D469" t="inlineStr">
        <is>
          <t>-</t>
        </is>
      </c>
      <c r="E469" t="inlineStr">
        <is>
          <t>Medium</t>
        </is>
      </c>
      <c r="F469" t="n">
        <v>10</v>
      </c>
      <c r="G469" t="inlineStr">
        <is>
          <t>Linked List</t>
        </is>
      </c>
      <c r="H469" t="inlineStr">
        <is>
          <t>Linked List (Part 1)</t>
        </is>
      </c>
      <c r="I469" t="inlineStr">
        <is>
          <t>Geeksforgeeks</t>
        </is>
      </c>
      <c r="J469" t="inlineStr">
        <is>
          <t>Problem</t>
        </is>
      </c>
    </row>
    <row r="470">
      <c r="A470" t="n">
        <v>30</v>
      </c>
      <c r="B470" t="inlineStr">
        <is>
          <t>Add Two Numbers</t>
        </is>
      </c>
      <c r="C470">
        <f>HYPERLINK("https://leetcode.com/problems/add-two-numbers/description/","add-two-numbers")</f>
        <v/>
      </c>
      <c r="D470" t="inlineStr">
        <is>
          <t>-</t>
        </is>
      </c>
      <c r="E470" t="inlineStr">
        <is>
          <t>Medium</t>
        </is>
      </c>
      <c r="F470" t="n">
        <v>10</v>
      </c>
      <c r="G470" t="inlineStr">
        <is>
          <t>Linked List</t>
        </is>
      </c>
      <c r="H470" t="inlineStr">
        <is>
          <t>Linked List (Part 1)</t>
        </is>
      </c>
      <c r="I470" t="inlineStr">
        <is>
          <t>Leetcode</t>
        </is>
      </c>
      <c r="J470" t="inlineStr">
        <is>
          <t>Problem</t>
        </is>
      </c>
    </row>
    <row r="471">
      <c r="A471" t="n">
        <v>1476</v>
      </c>
      <c r="B471" t="inlineStr">
        <is>
          <t>Sort a Linked List of 0s, 1s, and 2s</t>
        </is>
      </c>
      <c r="C471">
        <f>HYPERLINK("https://www.geeksforgeeks.org/problems/given-a-linked-list-of-0s-1s-and-2s-sort-it/0","Solve Problem")</f>
        <v/>
      </c>
      <c r="D471" t="inlineStr">
        <is>
          <t>-</t>
        </is>
      </c>
      <c r="E471" t="inlineStr">
        <is>
          <t>Medium</t>
        </is>
      </c>
      <c r="F471" t="n">
        <v>10</v>
      </c>
      <c r="G471" t="inlineStr">
        <is>
          <t>Linked List</t>
        </is>
      </c>
      <c r="H471" t="inlineStr">
        <is>
          <t>Linked List (Part 1)</t>
        </is>
      </c>
      <c r="I471" t="inlineStr">
        <is>
          <t>Geeksforgeeks</t>
        </is>
      </c>
      <c r="J471" t="inlineStr">
        <is>
          <t>Problem</t>
        </is>
      </c>
    </row>
    <row r="472">
      <c r="A472" t="n">
        <v>702</v>
      </c>
      <c r="B472" t="inlineStr">
        <is>
          <t>Sort List</t>
        </is>
      </c>
      <c r="C472">
        <f>HYPERLINK("https://leetcode.com/problems/sort-list/","sort-list")</f>
        <v/>
      </c>
      <c r="D472" t="inlineStr">
        <is>
          <t>-</t>
        </is>
      </c>
      <c r="E472" t="inlineStr">
        <is>
          <t>Medium</t>
        </is>
      </c>
      <c r="F472" t="n">
        <v>10</v>
      </c>
      <c r="G472" t="inlineStr">
        <is>
          <t>Linked List</t>
        </is>
      </c>
      <c r="H472" t="inlineStr">
        <is>
          <t>Linked List (Part 1)</t>
        </is>
      </c>
      <c r="I472" t="inlineStr">
        <is>
          <t>Leetcode</t>
        </is>
      </c>
      <c r="J472" t="inlineStr">
        <is>
          <t>Problem</t>
        </is>
      </c>
    </row>
    <row r="473">
      <c r="A473" t="n">
        <v>790</v>
      </c>
      <c r="B473" t="inlineStr">
        <is>
          <t>Linked List Random Node</t>
        </is>
      </c>
      <c r="C473">
        <f>HYPERLINK("https://leetcode.com/problems/linked-list-random-node/description/","linked-list-random-node")</f>
        <v/>
      </c>
      <c r="D473" t="inlineStr">
        <is>
          <t>-</t>
        </is>
      </c>
      <c r="E473" t="inlineStr">
        <is>
          <t>Medium</t>
        </is>
      </c>
      <c r="F473" t="n">
        <v>10</v>
      </c>
      <c r="G473" t="inlineStr">
        <is>
          <t>Linked List</t>
        </is>
      </c>
      <c r="H473" t="inlineStr">
        <is>
          <t>Linked List (Part 1)</t>
        </is>
      </c>
      <c r="I473" t="inlineStr">
        <is>
          <t>Leetcode</t>
        </is>
      </c>
      <c r="J473" t="inlineStr">
        <is>
          <t>Problem</t>
        </is>
      </c>
    </row>
    <row r="474">
      <c r="A474" t="n">
        <v>1038</v>
      </c>
      <c r="B474" t="inlineStr">
        <is>
          <t>Copy List with Random Pointer</t>
        </is>
      </c>
      <c r="C474">
        <f>HYPERLINK("https://leetcode.com/problems/copy-list-with-random-pointer/description/","copy-list-with-random-pointer")</f>
        <v/>
      </c>
      <c r="D474" t="inlineStr">
        <is>
          <t>-</t>
        </is>
      </c>
      <c r="E474" t="inlineStr">
        <is>
          <t>Medium</t>
        </is>
      </c>
      <c r="F474" t="n">
        <v>10</v>
      </c>
      <c r="G474" t="inlineStr">
        <is>
          <t>Linked List</t>
        </is>
      </c>
      <c r="H474" t="inlineStr">
        <is>
          <t>Linked List (Part 1)</t>
        </is>
      </c>
      <c r="I474" t="inlineStr">
        <is>
          <t>Leetcode</t>
        </is>
      </c>
      <c r="J474" t="inlineStr">
        <is>
          <t>Problem</t>
        </is>
      </c>
    </row>
    <row r="475">
      <c r="A475" t="n">
        <v>1478</v>
      </c>
      <c r="B475" t="inlineStr">
        <is>
          <t>Flattening a Linked List</t>
        </is>
      </c>
      <c r="C475">
        <f>HYPERLINK("https://www.geeksforgeeks.org/problems/flattening-a-linked-list/1","Solve Problem")</f>
        <v/>
      </c>
      <c r="D475" t="inlineStr">
        <is>
          <t>-</t>
        </is>
      </c>
      <c r="E475" t="inlineStr">
        <is>
          <t>Medium</t>
        </is>
      </c>
      <c r="F475" t="n">
        <v>10</v>
      </c>
      <c r="G475" t="inlineStr">
        <is>
          <t>Linked List</t>
        </is>
      </c>
      <c r="H475" t="inlineStr">
        <is>
          <t>Linked List (Part 1)</t>
        </is>
      </c>
      <c r="I475" t="inlineStr">
        <is>
          <t>Geeksforgeeks</t>
        </is>
      </c>
      <c r="J475" t="inlineStr">
        <is>
          <t>Problem</t>
        </is>
      </c>
    </row>
    <row r="476">
      <c r="A476" t="n">
        <v>358</v>
      </c>
      <c r="B476" t="inlineStr">
        <is>
          <t>Merge Two Sorted Lists</t>
        </is>
      </c>
      <c r="C476">
        <f>HYPERLINK("https://leetcode.com/problems/merge-two-sorted-lists/description/","merge-two-sorted-lists")</f>
        <v/>
      </c>
      <c r="D476" t="inlineStr">
        <is>
          <t>-</t>
        </is>
      </c>
      <c r="E476" t="inlineStr">
        <is>
          <t>Easy</t>
        </is>
      </c>
      <c r="F476" t="n">
        <v>10</v>
      </c>
      <c r="G476" t="inlineStr">
        <is>
          <t>Linked List</t>
        </is>
      </c>
      <c r="H476" t="inlineStr">
        <is>
          <t>Linked List (Part 1)</t>
        </is>
      </c>
      <c r="I476" t="inlineStr">
        <is>
          <t>Leetcode</t>
        </is>
      </c>
      <c r="J476" t="inlineStr">
        <is>
          <t>Problem</t>
        </is>
      </c>
    </row>
    <row r="477">
      <c r="A477" t="n">
        <v>793</v>
      </c>
      <c r="B477" t="inlineStr">
        <is>
          <t>Merge k Sorted Lists</t>
        </is>
      </c>
      <c r="C477">
        <f>HYPERLINK("https://leetcode.com/problems/merge-k-sorted-lists/description/","merge-k-sorted-lists")</f>
        <v/>
      </c>
      <c r="D477" t="inlineStr">
        <is>
          <t>-</t>
        </is>
      </c>
      <c r="E477" t="inlineStr">
        <is>
          <t>Hard</t>
        </is>
      </c>
      <c r="F477" t="n">
        <v>10</v>
      </c>
      <c r="G477" t="inlineStr">
        <is>
          <t>Linked List</t>
        </is>
      </c>
      <c r="H477" t="inlineStr">
        <is>
          <t>Linked List (Part 1)</t>
        </is>
      </c>
      <c r="I477" t="inlineStr">
        <is>
          <t>Leetcode</t>
        </is>
      </c>
      <c r="J477" t="inlineStr">
        <is>
          <t>Problem</t>
        </is>
      </c>
    </row>
    <row r="478">
      <c r="A478" t="n">
        <v>500</v>
      </c>
      <c r="B478" t="inlineStr">
        <is>
          <t>Design HashSet</t>
        </is>
      </c>
      <c r="C478">
        <f>HYPERLINK("https://leetcode.com/problems/design-hashset/description/","design-hashset")</f>
        <v/>
      </c>
      <c r="D478" t="inlineStr">
        <is>
          <t>-</t>
        </is>
      </c>
      <c r="E478" t="inlineStr">
        <is>
          <t>Easy</t>
        </is>
      </c>
      <c r="F478" t="n">
        <v>10</v>
      </c>
      <c r="G478" t="inlineStr">
        <is>
          <t>Linked List</t>
        </is>
      </c>
      <c r="H478" t="inlineStr">
        <is>
          <t>Linked List (Part 2) : Design Pattern</t>
        </is>
      </c>
      <c r="I478" t="inlineStr">
        <is>
          <t>Leetcode</t>
        </is>
      </c>
      <c r="J478" t="inlineStr">
        <is>
          <t>Problem</t>
        </is>
      </c>
    </row>
    <row r="479">
      <c r="A479" t="n">
        <v>455</v>
      </c>
      <c r="B479" t="inlineStr">
        <is>
          <t>Design HashMap</t>
        </is>
      </c>
      <c r="C479">
        <f>HYPERLINK("https://leetcode.com/problems/design-hashmap/description/","design-hashmap")</f>
        <v/>
      </c>
      <c r="D479" t="inlineStr">
        <is>
          <t>-</t>
        </is>
      </c>
      <c r="E479" t="inlineStr">
        <is>
          <t>Easy</t>
        </is>
      </c>
      <c r="F479" t="n">
        <v>10</v>
      </c>
      <c r="G479" t="inlineStr">
        <is>
          <t>Linked List</t>
        </is>
      </c>
      <c r="H479" t="inlineStr">
        <is>
          <t>Linked List (Part 2) : Design Pattern</t>
        </is>
      </c>
      <c r="I479" t="inlineStr">
        <is>
          <t>Leetcode</t>
        </is>
      </c>
      <c r="J479" t="inlineStr">
        <is>
          <t>Problem</t>
        </is>
      </c>
    </row>
    <row r="480">
      <c r="A480" t="n">
        <v>845</v>
      </c>
      <c r="B480" t="inlineStr">
        <is>
          <t>Design Browser History</t>
        </is>
      </c>
      <c r="C480">
        <f>HYPERLINK("https://leetcode.com/problems/design-browser-history/description/","design-browser-history")</f>
        <v/>
      </c>
      <c r="D480" t="inlineStr">
        <is>
          <t>-</t>
        </is>
      </c>
      <c r="E480" t="inlineStr">
        <is>
          <t>Medium</t>
        </is>
      </c>
      <c r="F480" t="n">
        <v>10</v>
      </c>
      <c r="G480" t="inlineStr">
        <is>
          <t>Linked List</t>
        </is>
      </c>
      <c r="H480" t="inlineStr">
        <is>
          <t>Linked List (Part 2) : Design Pattern</t>
        </is>
      </c>
      <c r="I480" t="inlineStr">
        <is>
          <t>Leetcode</t>
        </is>
      </c>
      <c r="J480" t="inlineStr">
        <is>
          <t>Problem</t>
        </is>
      </c>
    </row>
    <row r="481">
      <c r="A481" t="n">
        <v>451</v>
      </c>
      <c r="B481" t="inlineStr">
        <is>
          <t>Design a Text Editor</t>
        </is>
      </c>
      <c r="C481">
        <f>HYPERLINK("https://leetcode.com/problems/design-a-text-editor/description/","design-a-text-editor")</f>
        <v/>
      </c>
      <c r="D481" t="inlineStr">
        <is>
          <t>-</t>
        </is>
      </c>
      <c r="E481" t="inlineStr">
        <is>
          <t>Hard</t>
        </is>
      </c>
      <c r="F481" t="n">
        <v>10</v>
      </c>
      <c r="G481" t="inlineStr">
        <is>
          <t>Linked List</t>
        </is>
      </c>
      <c r="H481" t="inlineStr">
        <is>
          <t>Linked List (Part 2) : Design Pattern</t>
        </is>
      </c>
      <c r="I481" t="inlineStr">
        <is>
          <t>Leetcode</t>
        </is>
      </c>
      <c r="J481" t="inlineStr">
        <is>
          <t>Problem</t>
        </is>
      </c>
    </row>
    <row r="482">
      <c r="A482" t="n">
        <v>785</v>
      </c>
      <c r="B482" t="inlineStr">
        <is>
          <t>All O'one Data Structure</t>
        </is>
      </c>
      <c r="C482">
        <f>HYPERLINK("https://leetcode.com/problems/all-oone-data-structure/","all-oone-data-structure")</f>
        <v/>
      </c>
      <c r="D482" t="inlineStr">
        <is>
          <t>-</t>
        </is>
      </c>
      <c r="E482" t="inlineStr">
        <is>
          <t>Hard</t>
        </is>
      </c>
      <c r="F482" t="n">
        <v>10</v>
      </c>
      <c r="G482" t="inlineStr">
        <is>
          <t>Linked List</t>
        </is>
      </c>
      <c r="H482" t="inlineStr">
        <is>
          <t>Linked List (Part 2) : Design Pattern</t>
        </is>
      </c>
      <c r="I482" t="inlineStr">
        <is>
          <t>Leetcode</t>
        </is>
      </c>
      <c r="J482" t="inlineStr">
        <is>
          <t>Problem</t>
        </is>
      </c>
    </row>
    <row r="483">
      <c r="A483" t="n">
        <v>506</v>
      </c>
      <c r="B483" t="inlineStr">
        <is>
          <t>LRU Cache</t>
        </is>
      </c>
      <c r="C483">
        <f>HYPERLINK("https://leetcode.com/problems/lru-cache/","lru-cache")</f>
        <v/>
      </c>
      <c r="D483" t="inlineStr">
        <is>
          <t>-</t>
        </is>
      </c>
      <c r="E483" t="inlineStr">
        <is>
          <t>Medium</t>
        </is>
      </c>
      <c r="F483" t="n">
        <v>10</v>
      </c>
      <c r="G483" t="inlineStr">
        <is>
          <t>Linked List</t>
        </is>
      </c>
      <c r="H483" t="inlineStr">
        <is>
          <t>Linked List (Part 2) : Design Pattern</t>
        </is>
      </c>
      <c r="I483" t="inlineStr">
        <is>
          <t>Leetcode</t>
        </is>
      </c>
      <c r="J483" t="inlineStr">
        <is>
          <t>Problem</t>
        </is>
      </c>
    </row>
    <row r="484">
      <c r="A484" t="n">
        <v>482</v>
      </c>
      <c r="B484" t="inlineStr">
        <is>
          <t>LFU Cache</t>
        </is>
      </c>
      <c r="C484">
        <f>HYPERLINK("https://leetcode.com/problems/lfu-cache","lfu-cache")</f>
        <v/>
      </c>
      <c r="D484" t="inlineStr">
        <is>
          <t>-</t>
        </is>
      </c>
      <c r="E484" t="inlineStr">
        <is>
          <t>Hard</t>
        </is>
      </c>
      <c r="F484" t="n">
        <v>10</v>
      </c>
      <c r="G484" t="inlineStr">
        <is>
          <t>Linked List</t>
        </is>
      </c>
      <c r="H484" t="inlineStr">
        <is>
          <t>Linked List (Part 2) : Design Pattern</t>
        </is>
      </c>
      <c r="I484" t="inlineStr">
        <is>
          <t>Leetcode</t>
        </is>
      </c>
      <c r="J484" t="inlineStr">
        <is>
          <t>Problem</t>
        </is>
      </c>
    </row>
    <row r="485">
      <c r="A485" t="n">
        <v>767</v>
      </c>
      <c r="B485" t="inlineStr">
        <is>
          <t>Valid Parentheses</t>
        </is>
      </c>
      <c r="C485">
        <f>HYPERLINK("https://leetcode.com/problems/valid-parentheses/","valid-parentheses")</f>
        <v/>
      </c>
      <c r="D485" t="inlineStr">
        <is>
          <t>-</t>
        </is>
      </c>
      <c r="E485" t="inlineStr">
        <is>
          <t>Easy</t>
        </is>
      </c>
      <c r="F485" t="n">
        <v>11</v>
      </c>
      <c r="G485" t="inlineStr">
        <is>
          <t>Stack</t>
        </is>
      </c>
      <c r="H485" t="inlineStr">
        <is>
          <t>Parentheses Problem</t>
        </is>
      </c>
      <c r="I485" t="inlineStr">
        <is>
          <t>Leetcode</t>
        </is>
      </c>
      <c r="J485" t="inlineStr">
        <is>
          <t>Problem</t>
        </is>
      </c>
    </row>
    <row r="486">
      <c r="A486" t="n">
        <v>324</v>
      </c>
      <c r="B486" t="inlineStr">
        <is>
          <t>Maximum Nesting Depth of the Parentheses</t>
        </is>
      </c>
      <c r="C486">
        <f>HYPERLINK("https://leetcode.com/problems/maximum-nesting-depth-of-the-parentheses","maximum-nesting-depth-of-the-parentheses")</f>
        <v/>
      </c>
      <c r="D486" t="inlineStr">
        <is>
          <t>-</t>
        </is>
      </c>
      <c r="E486" t="inlineStr">
        <is>
          <t>Easy</t>
        </is>
      </c>
      <c r="F486" t="n">
        <v>11</v>
      </c>
      <c r="G486" t="inlineStr">
        <is>
          <t>Stack</t>
        </is>
      </c>
      <c r="H486" t="inlineStr">
        <is>
          <t>Parentheses Problem</t>
        </is>
      </c>
      <c r="I486" t="inlineStr">
        <is>
          <t>Leetcode</t>
        </is>
      </c>
      <c r="J486" t="inlineStr">
        <is>
          <t>Problem</t>
        </is>
      </c>
    </row>
    <row r="487">
      <c r="A487" t="n">
        <v>642</v>
      </c>
      <c r="B487" t="inlineStr">
        <is>
          <t>Remove Outermost Parentheses</t>
        </is>
      </c>
      <c r="C487">
        <f>HYPERLINK("https://leetcode.com/problems/remove-outermost-parentheses","remove-outermost-parentheses")</f>
        <v/>
      </c>
      <c r="D487" t="inlineStr">
        <is>
          <t>-</t>
        </is>
      </c>
      <c r="E487" t="inlineStr">
        <is>
          <t>Easy</t>
        </is>
      </c>
      <c r="F487" t="n">
        <v>11</v>
      </c>
      <c r="G487" t="inlineStr">
        <is>
          <t>Stack</t>
        </is>
      </c>
      <c r="H487" t="inlineStr">
        <is>
          <t>Parentheses Problem</t>
        </is>
      </c>
      <c r="I487" t="inlineStr">
        <is>
          <t>Leetcode</t>
        </is>
      </c>
      <c r="J487" t="inlineStr">
        <is>
          <t>Problem</t>
        </is>
      </c>
    </row>
    <row r="488">
      <c r="A488" t="n">
        <v>369</v>
      </c>
      <c r="B488" t="inlineStr">
        <is>
          <t>Minimum Add to Make Parentheses Valid</t>
        </is>
      </c>
      <c r="C488">
        <f>HYPERLINK("https://leetcode.com/problems/minimum-add-to-make-parentheses-valid/","minimum-add-to-make-parentheses-valid")</f>
        <v/>
      </c>
      <c r="D488" t="inlineStr">
        <is>
          <t>-</t>
        </is>
      </c>
      <c r="E488" t="inlineStr">
        <is>
          <t>Medium</t>
        </is>
      </c>
      <c r="F488" t="n">
        <v>11</v>
      </c>
      <c r="G488" t="inlineStr">
        <is>
          <t>Stack</t>
        </is>
      </c>
      <c r="H488" t="inlineStr">
        <is>
          <t>Parentheses Problem</t>
        </is>
      </c>
      <c r="I488" t="inlineStr">
        <is>
          <t>Leetcode</t>
        </is>
      </c>
      <c r="J488" t="inlineStr">
        <is>
          <t>Problem</t>
        </is>
      </c>
    </row>
    <row r="489">
      <c r="A489" t="n">
        <v>412</v>
      </c>
      <c r="B489" t="inlineStr">
        <is>
          <t>Minimum Remove to Make Valid Parentheses</t>
        </is>
      </c>
      <c r="C489">
        <f>HYPERLINK("https://leetcode.com/problems/minimum-remove-to-make-valid-parentheses","minimum-remove-to-make-valid-parentheses")</f>
        <v/>
      </c>
      <c r="D489" t="inlineStr">
        <is>
          <t>-</t>
        </is>
      </c>
      <c r="E489" t="inlineStr">
        <is>
          <t>Medium</t>
        </is>
      </c>
      <c r="F489" t="n">
        <v>11</v>
      </c>
      <c r="G489" t="inlineStr">
        <is>
          <t>Stack</t>
        </is>
      </c>
      <c r="H489" t="inlineStr">
        <is>
          <t>Parentheses Problem</t>
        </is>
      </c>
      <c r="I489" t="inlineStr">
        <is>
          <t>Leetcode</t>
        </is>
      </c>
      <c r="J489" t="inlineStr">
        <is>
          <t>Problem</t>
        </is>
      </c>
    </row>
    <row r="490">
      <c r="A490" t="n">
        <v>325</v>
      </c>
      <c r="B490" t="inlineStr">
        <is>
          <t>Maximum Nesting Depth of Two Valid Parentheses Strings</t>
        </is>
      </c>
      <c r="C490">
        <f>HYPERLINK("https://leetcode.com/problems/maximum-nesting-depth-of-two-valid-parentheses-strings","maximum-nesting-depth-of-two-valid-parentheses-strings")</f>
        <v/>
      </c>
      <c r="D490" t="inlineStr">
        <is>
          <t>-</t>
        </is>
      </c>
      <c r="E490" t="inlineStr">
        <is>
          <t>Medium</t>
        </is>
      </c>
      <c r="F490" t="n">
        <v>11</v>
      </c>
      <c r="G490" t="inlineStr">
        <is>
          <t>Stack</t>
        </is>
      </c>
      <c r="H490" t="inlineStr">
        <is>
          <t>Parentheses Problem</t>
        </is>
      </c>
      <c r="I490" t="inlineStr">
        <is>
          <t>Leetcode</t>
        </is>
      </c>
      <c r="J490" t="inlineStr">
        <is>
          <t>Problem</t>
        </is>
      </c>
    </row>
    <row r="491">
      <c r="A491" t="n">
        <v>71</v>
      </c>
      <c r="B491" t="inlineStr">
        <is>
          <t>Check if a Parentheses String Can Be Valid</t>
        </is>
      </c>
      <c r="C491">
        <f>HYPERLINK("https://leetcode.com/problems/check-if-a-parentheses-string-can-be-valid","check-if-a-parentheses-string-can-be-valid")</f>
        <v/>
      </c>
      <c r="D491" t="inlineStr">
        <is>
          <t>-</t>
        </is>
      </c>
      <c r="E491" t="inlineStr">
        <is>
          <t>Medium</t>
        </is>
      </c>
      <c r="F491" t="n">
        <v>11</v>
      </c>
      <c r="G491" t="inlineStr">
        <is>
          <t>Stack</t>
        </is>
      </c>
      <c r="H491" t="inlineStr">
        <is>
          <t>Parentheses Problem</t>
        </is>
      </c>
      <c r="I491" t="inlineStr">
        <is>
          <t>Leetcode</t>
        </is>
      </c>
      <c r="J491" t="inlineStr">
        <is>
          <t>Problem</t>
        </is>
      </c>
    </row>
    <row r="492">
      <c r="A492" t="n">
        <v>657</v>
      </c>
      <c r="B492" t="inlineStr">
        <is>
          <t>Reverse Substrings Between Each Pair of Parentheses</t>
        </is>
      </c>
      <c r="C492">
        <f>HYPERLINK("https://leetcode.com/problems/reverse-substrings-between-each-pair-of-parentheses","reverse-substrings-between-each-pair-of-parentheses")</f>
        <v/>
      </c>
      <c r="D492" t="inlineStr">
        <is>
          <t>-</t>
        </is>
      </c>
      <c r="E492" t="inlineStr">
        <is>
          <t>Medium</t>
        </is>
      </c>
      <c r="F492" t="n">
        <v>11</v>
      </c>
      <c r="G492" t="inlineStr">
        <is>
          <t>Stack</t>
        </is>
      </c>
      <c r="H492" t="inlineStr">
        <is>
          <t>Parentheses Problem</t>
        </is>
      </c>
      <c r="I492" t="inlineStr">
        <is>
          <t>Leetcode</t>
        </is>
      </c>
      <c r="J492" t="inlineStr">
        <is>
          <t>Problem</t>
        </is>
      </c>
    </row>
    <row r="493">
      <c r="A493" t="n">
        <v>830</v>
      </c>
      <c r="B493" t="inlineStr">
        <is>
          <t>Score of Parentheses</t>
        </is>
      </c>
      <c r="C493">
        <f>HYPERLINK("https://leetcode.com/problems/score-of-parentheses","score-of-parentheses")</f>
        <v/>
      </c>
      <c r="D493" t="inlineStr">
        <is>
          <t>-</t>
        </is>
      </c>
      <c r="E493" t="inlineStr">
        <is>
          <t>Medium</t>
        </is>
      </c>
      <c r="F493" t="n">
        <v>11</v>
      </c>
      <c r="G493" t="inlineStr">
        <is>
          <t>Stack</t>
        </is>
      </c>
      <c r="H493" t="inlineStr">
        <is>
          <t>Parentheses Problem</t>
        </is>
      </c>
      <c r="I493" t="inlineStr">
        <is>
          <t>Leetcode</t>
        </is>
      </c>
      <c r="J493" t="inlineStr">
        <is>
          <t>Problem</t>
        </is>
      </c>
    </row>
    <row r="494">
      <c r="A494" t="n">
        <v>391</v>
      </c>
      <c r="B494" t="inlineStr">
        <is>
          <t>Minimum Insertions to Balance a Parentheses String</t>
        </is>
      </c>
      <c r="C494">
        <f>HYPERLINK("https://leetcode.com/problems/minimum-insertions-to-balance-a-parentheses-string","minimum-insertions-to-balance-a-parentheses-string")</f>
        <v/>
      </c>
      <c r="D494" t="inlineStr">
        <is>
          <t>-</t>
        </is>
      </c>
      <c r="E494" t="inlineStr">
        <is>
          <t>Medium</t>
        </is>
      </c>
      <c r="F494" t="n">
        <v>11</v>
      </c>
      <c r="G494" t="inlineStr">
        <is>
          <t>Stack</t>
        </is>
      </c>
      <c r="H494" t="inlineStr">
        <is>
          <t>Parentheses Problem</t>
        </is>
      </c>
      <c r="I494" t="inlineStr">
        <is>
          <t>Leetcode</t>
        </is>
      </c>
      <c r="J494" t="inlineStr">
        <is>
          <t>Problem</t>
        </is>
      </c>
    </row>
    <row r="495">
      <c r="A495" t="n">
        <v>273</v>
      </c>
      <c r="B495" t="inlineStr">
        <is>
          <t>Longest Valid Parentheses</t>
        </is>
      </c>
      <c r="C495">
        <f>HYPERLINK("https://leetcode.com/problems/longest-valid-parentheses/","longest-valid-parentheses")</f>
        <v/>
      </c>
      <c r="D495" t="inlineStr">
        <is>
          <t>-</t>
        </is>
      </c>
      <c r="E495" t="inlineStr">
        <is>
          <t>Hard</t>
        </is>
      </c>
      <c r="F495" t="n">
        <v>11</v>
      </c>
      <c r="G495" t="inlineStr">
        <is>
          <t>Stack</t>
        </is>
      </c>
      <c r="H495" t="inlineStr">
        <is>
          <t>Parentheses Problem</t>
        </is>
      </c>
      <c r="I495" t="inlineStr">
        <is>
          <t>Leetcode</t>
        </is>
      </c>
      <c r="J495" t="inlineStr">
        <is>
          <t>Problem</t>
        </is>
      </c>
    </row>
    <row r="496">
      <c r="A496" t="n">
        <v>1511</v>
      </c>
      <c r="B496" t="inlineStr">
        <is>
          <t>Redundant Parenthesis</t>
        </is>
      </c>
      <c r="C496">
        <f>HYPERLINK("https://www.geeksforgeeks.org/problems/redundant-parenthesis--170647/1","Solve Problem")</f>
        <v/>
      </c>
      <c r="D496" t="inlineStr">
        <is>
          <t>-</t>
        </is>
      </c>
      <c r="E496" t="inlineStr">
        <is>
          <t>Hard</t>
        </is>
      </c>
      <c r="F496" t="n">
        <v>11</v>
      </c>
      <c r="G496" t="inlineStr">
        <is>
          <t>Stack</t>
        </is>
      </c>
      <c r="H496" t="inlineStr">
        <is>
          <t>Parentheses Problem</t>
        </is>
      </c>
      <c r="I496" t="inlineStr">
        <is>
          <t>Geeksforgeeks</t>
        </is>
      </c>
      <c r="J496" t="inlineStr">
        <is>
          <t>Problem</t>
        </is>
      </c>
    </row>
    <row r="497">
      <c r="A497" t="n">
        <v>794</v>
      </c>
      <c r="B497" t="inlineStr">
        <is>
          <t>Min Stack</t>
        </is>
      </c>
      <c r="C497">
        <f>HYPERLINK("https://leetcode.com/problems/min-stack/","min-stack")</f>
        <v/>
      </c>
      <c r="D497" t="inlineStr">
        <is>
          <t>-</t>
        </is>
      </c>
      <c r="E497" t="inlineStr">
        <is>
          <t>Medium</t>
        </is>
      </c>
      <c r="F497" t="n">
        <v>11</v>
      </c>
      <c r="G497" t="inlineStr">
        <is>
          <t>Stack</t>
        </is>
      </c>
      <c r="H497" t="inlineStr">
        <is>
          <t>Design Problems</t>
        </is>
      </c>
      <c r="I497" t="inlineStr">
        <is>
          <t>Leetcode</t>
        </is>
      </c>
      <c r="J497" t="inlineStr">
        <is>
          <t>Problem</t>
        </is>
      </c>
    </row>
    <row r="498">
      <c r="A498" t="n">
        <v>508</v>
      </c>
      <c r="B498" t="inlineStr">
        <is>
          <t>Maximum Frequency Stack</t>
        </is>
      </c>
      <c r="C498">
        <f>HYPERLINK("https://leetcode.com/problems/maximum-frequency-stack/","maximum-frequency-stack")</f>
        <v/>
      </c>
      <c r="D498" t="inlineStr">
        <is>
          <t>-</t>
        </is>
      </c>
      <c r="E498" t="inlineStr">
        <is>
          <t>Hard</t>
        </is>
      </c>
      <c r="F498" t="n">
        <v>11</v>
      </c>
      <c r="G498" t="inlineStr">
        <is>
          <t>Stack</t>
        </is>
      </c>
      <c r="H498" t="inlineStr">
        <is>
          <t>Design Problems</t>
        </is>
      </c>
      <c r="I498" t="inlineStr">
        <is>
          <t>Leetcode</t>
        </is>
      </c>
      <c r="J498" t="inlineStr">
        <is>
          <t>Problem</t>
        </is>
      </c>
    </row>
    <row r="499">
      <c r="A499" t="n">
        <v>439</v>
      </c>
      <c r="B499" t="inlineStr">
        <is>
          <t>Design a Stack With Increment Operation</t>
        </is>
      </c>
      <c r="C499">
        <f>HYPERLINK("https://leetcode.com/problems/design-a-stack-with-increment-operation/description/","design-a-stack-with-increment-operation")</f>
        <v/>
      </c>
      <c r="D499" t="inlineStr">
        <is>
          <t>-</t>
        </is>
      </c>
      <c r="E499" t="inlineStr">
        <is>
          <t>Medium</t>
        </is>
      </c>
      <c r="F499" t="n">
        <v>11</v>
      </c>
      <c r="G499" t="inlineStr">
        <is>
          <t>Stack</t>
        </is>
      </c>
      <c r="H499" t="inlineStr">
        <is>
          <t>Design Problems</t>
        </is>
      </c>
      <c r="I499" t="inlineStr">
        <is>
          <t>Leetcode</t>
        </is>
      </c>
      <c r="J499" t="inlineStr">
        <is>
          <t>Problem</t>
        </is>
      </c>
    </row>
    <row r="500">
      <c r="A500" t="n">
        <v>846</v>
      </c>
      <c r="B500" t="inlineStr">
        <is>
          <t>Dinner Plate Stacks</t>
        </is>
      </c>
      <c r="C500">
        <f>HYPERLINK("https://leetcode.com/problems/dinner-plate-stacks/description/","dinner-plate-stacks")</f>
        <v/>
      </c>
      <c r="D500" t="inlineStr">
        <is>
          <t>-</t>
        </is>
      </c>
      <c r="E500" t="inlineStr">
        <is>
          <t>Hard</t>
        </is>
      </c>
      <c r="F500" t="n">
        <v>11</v>
      </c>
      <c r="G500" t="inlineStr">
        <is>
          <t>Stack</t>
        </is>
      </c>
      <c r="H500" t="inlineStr">
        <is>
          <t>Design Problems</t>
        </is>
      </c>
      <c r="I500" t="inlineStr">
        <is>
          <t>Leetcode</t>
        </is>
      </c>
      <c r="J500" t="inlineStr">
        <is>
          <t>Problem</t>
        </is>
      </c>
    </row>
    <row r="501">
      <c r="A501" t="n">
        <v>512</v>
      </c>
      <c r="B501" t="inlineStr">
        <is>
          <t>Merge Intervals</t>
        </is>
      </c>
      <c r="C501">
        <f>HYPERLINK("https://leetcode.com/problems/merge-intervals/","merge-intervals")</f>
        <v/>
      </c>
      <c r="D501" t="inlineStr">
        <is>
          <t>-</t>
        </is>
      </c>
      <c r="E501" t="inlineStr">
        <is>
          <t>Medium</t>
        </is>
      </c>
      <c r="F501" t="n">
        <v>11</v>
      </c>
      <c r="G501" t="inlineStr">
        <is>
          <t>Stack</t>
        </is>
      </c>
      <c r="H501" t="inlineStr">
        <is>
          <t>Advance Stack Problems</t>
        </is>
      </c>
      <c r="I501" t="inlineStr">
        <is>
          <t>Leetcode</t>
        </is>
      </c>
      <c r="J501" t="inlineStr">
        <is>
          <t>Problem</t>
        </is>
      </c>
    </row>
    <row r="502">
      <c r="A502" t="n">
        <v>215</v>
      </c>
      <c r="B502" t="inlineStr">
        <is>
          <t>Insert Intervals</t>
        </is>
      </c>
      <c r="C502">
        <f>HYPERLINK("https://leetcode.com/problems/insert-interval/","insert-interval")</f>
        <v/>
      </c>
      <c r="D502" t="inlineStr">
        <is>
          <t>-</t>
        </is>
      </c>
      <c r="E502" t="inlineStr">
        <is>
          <t>Medium</t>
        </is>
      </c>
      <c r="F502" t="n">
        <v>11</v>
      </c>
      <c r="G502" t="inlineStr">
        <is>
          <t>Stack</t>
        </is>
      </c>
      <c r="H502" t="inlineStr">
        <is>
          <t>Advance Stack Problems</t>
        </is>
      </c>
      <c r="I502" t="inlineStr">
        <is>
          <t>Leetcode</t>
        </is>
      </c>
      <c r="J502" t="inlineStr">
        <is>
          <t>Problem</t>
        </is>
      </c>
    </row>
    <row r="503">
      <c r="A503" t="n">
        <v>97</v>
      </c>
      <c r="B503" t="inlineStr">
        <is>
          <t>Asteroid Collision</t>
        </is>
      </c>
      <c r="C503">
        <f>HYPERLINK("https://leetcode.com/problems/asteroid-collision/","asteroid-collision")</f>
        <v/>
      </c>
      <c r="D503" t="inlineStr">
        <is>
          <t>-</t>
        </is>
      </c>
      <c r="E503" t="inlineStr">
        <is>
          <t>Medium</t>
        </is>
      </c>
      <c r="F503" t="n">
        <v>11</v>
      </c>
      <c r="G503" t="inlineStr">
        <is>
          <t>Stack</t>
        </is>
      </c>
      <c r="H503" t="inlineStr">
        <is>
          <t>Advance Stack Problems</t>
        </is>
      </c>
      <c r="I503" t="inlineStr">
        <is>
          <t>Leetcode</t>
        </is>
      </c>
      <c r="J503" t="inlineStr">
        <is>
          <t>Problem</t>
        </is>
      </c>
    </row>
    <row r="504">
      <c r="A504" t="n">
        <v>88</v>
      </c>
      <c r="B504" t="inlineStr">
        <is>
          <t>Construct Smallest Number From DI String</t>
        </is>
      </c>
      <c r="C504">
        <f>HYPERLINK("https://leetcode.com/problems/construct-smallest-number-from-di-string/","construct-smallest-number-from-di-string")</f>
        <v/>
      </c>
      <c r="D504" t="inlineStr">
        <is>
          <t>-</t>
        </is>
      </c>
      <c r="E504" t="inlineStr">
        <is>
          <t>Medium</t>
        </is>
      </c>
      <c r="F504" t="n">
        <v>11</v>
      </c>
      <c r="G504" t="inlineStr">
        <is>
          <t>Stack</t>
        </is>
      </c>
      <c r="H504" t="inlineStr">
        <is>
          <t>Advance Stack Problems</t>
        </is>
      </c>
      <c r="I504" t="inlineStr">
        <is>
          <t>Leetcode</t>
        </is>
      </c>
      <c r="J504" t="inlineStr">
        <is>
          <t>Problem</t>
        </is>
      </c>
    </row>
    <row r="505">
      <c r="A505" t="n">
        <v>458</v>
      </c>
      <c r="B505" t="inlineStr">
        <is>
          <t>Evaluate Reverse Polish Notation</t>
        </is>
      </c>
      <c r="C505">
        <f>HYPERLINK("https://leetcode.com/problems/evaluate-reverse-polish-notation/","evaluate-reverse-polish-notation")</f>
        <v/>
      </c>
      <c r="D505" t="inlineStr">
        <is>
          <t>-</t>
        </is>
      </c>
      <c r="E505" t="inlineStr">
        <is>
          <t>Medium</t>
        </is>
      </c>
      <c r="F505" t="n">
        <v>11</v>
      </c>
      <c r="G505" t="inlineStr">
        <is>
          <t>Stack</t>
        </is>
      </c>
      <c r="H505" t="inlineStr">
        <is>
          <t>Advance Stack Problems</t>
        </is>
      </c>
      <c r="I505" t="inlineStr">
        <is>
          <t>Leetcode</t>
        </is>
      </c>
      <c r="J505" t="inlineStr">
        <is>
          <t>Problem</t>
        </is>
      </c>
    </row>
    <row r="506">
      <c r="A506" t="n">
        <v>689</v>
      </c>
      <c r="B506" t="inlineStr">
        <is>
          <t>Simplify Path</t>
        </is>
      </c>
      <c r="C506">
        <f>HYPERLINK("https://leetcode.com/problems/simplify-path/","simplify-path")</f>
        <v/>
      </c>
      <c r="D506" t="inlineStr">
        <is>
          <t>-</t>
        </is>
      </c>
      <c r="E506" t="inlineStr">
        <is>
          <t>Medium</t>
        </is>
      </c>
      <c r="F506" t="n">
        <v>11</v>
      </c>
      <c r="G506" t="inlineStr">
        <is>
          <t>Stack</t>
        </is>
      </c>
      <c r="H506" t="inlineStr">
        <is>
          <t>Advance Stack Problems</t>
        </is>
      </c>
      <c r="I506" t="inlineStr">
        <is>
          <t>Leetcode</t>
        </is>
      </c>
      <c r="J506" t="inlineStr">
        <is>
          <t>Problem</t>
        </is>
      </c>
    </row>
    <row r="507">
      <c r="A507" t="n">
        <v>442</v>
      </c>
      <c r="B507" t="inlineStr">
        <is>
          <t>Basic Calculator</t>
        </is>
      </c>
      <c r="C507">
        <f>HYPERLINK("https://leetcode.com/problems/basic-calculator/","basic-calculator")</f>
        <v/>
      </c>
      <c r="D507" t="inlineStr">
        <is>
          <t>-</t>
        </is>
      </c>
      <c r="E507" t="inlineStr">
        <is>
          <t>Hard</t>
        </is>
      </c>
      <c r="F507" t="n">
        <v>11</v>
      </c>
      <c r="G507" t="inlineStr">
        <is>
          <t>Stack</t>
        </is>
      </c>
      <c r="H507" t="inlineStr">
        <is>
          <t>Advance Stack Problems</t>
        </is>
      </c>
      <c r="I507" t="inlineStr">
        <is>
          <t>Leetcode</t>
        </is>
      </c>
      <c r="J507" t="inlineStr">
        <is>
          <t>Problem</t>
        </is>
      </c>
    </row>
    <row r="508">
      <c r="A508" t="n">
        <v>43</v>
      </c>
      <c r="B508" t="inlineStr">
        <is>
          <t>Basic Calculator II</t>
        </is>
      </c>
      <c r="C508">
        <f>HYPERLINK("https://leetcode.com/problems/basic-calculator-ii/","basic-calculator-ii")</f>
        <v/>
      </c>
      <c r="D508" t="inlineStr">
        <is>
          <t>-</t>
        </is>
      </c>
      <c r="E508" t="inlineStr">
        <is>
          <t>Medium</t>
        </is>
      </c>
      <c r="F508" t="n">
        <v>11</v>
      </c>
      <c r="G508" t="inlineStr">
        <is>
          <t>Stack</t>
        </is>
      </c>
      <c r="H508" t="inlineStr">
        <is>
          <t>Advance Stack Problems</t>
        </is>
      </c>
      <c r="I508" t="inlineStr">
        <is>
          <t>Leetcode</t>
        </is>
      </c>
      <c r="J508" t="inlineStr">
        <is>
          <t>Problem</t>
        </is>
      </c>
    </row>
    <row r="509">
      <c r="A509" t="n">
        <v>98</v>
      </c>
      <c r="B509" t="inlineStr">
        <is>
          <t>Basic Calculator IV</t>
        </is>
      </c>
      <c r="C509">
        <f>HYPERLINK("https://leetcode.com/problems/basic-calculator-iv/","basic-calculator-iv")</f>
        <v/>
      </c>
      <c r="D509" t="inlineStr">
        <is>
          <t>-</t>
        </is>
      </c>
      <c r="E509" t="inlineStr">
        <is>
          <t>Hard</t>
        </is>
      </c>
      <c r="F509" t="n">
        <v>11</v>
      </c>
      <c r="G509" t="inlineStr">
        <is>
          <t>Stack</t>
        </is>
      </c>
      <c r="H509" t="inlineStr">
        <is>
          <t>Advance Stack Problems</t>
        </is>
      </c>
      <c r="I509" t="inlineStr">
        <is>
          <t>Leetcode</t>
        </is>
      </c>
      <c r="J509" t="inlineStr">
        <is>
          <t>Problem</t>
        </is>
      </c>
    </row>
    <row r="510">
      <c r="A510" t="n">
        <v>647</v>
      </c>
      <c r="B510" t="inlineStr">
        <is>
          <t>Replace Non-Coprime Numbers in Array</t>
        </is>
      </c>
      <c r="C510">
        <f>HYPERLINK("https://leetcode.com/problems/replace-non-coprime-numbers-in-array/","replace-non-coprime-numbers-in-array")</f>
        <v/>
      </c>
      <c r="D510" t="inlineStr">
        <is>
          <t>-</t>
        </is>
      </c>
      <c r="E510" t="inlineStr">
        <is>
          <t>Hard</t>
        </is>
      </c>
      <c r="F510" t="n">
        <v>11</v>
      </c>
      <c r="G510" t="inlineStr">
        <is>
          <t>Stack</t>
        </is>
      </c>
      <c r="H510" t="inlineStr">
        <is>
          <t>Advance Stack Problems</t>
        </is>
      </c>
      <c r="I510" t="inlineStr">
        <is>
          <t>Leetcode</t>
        </is>
      </c>
      <c r="J510" t="inlineStr">
        <is>
          <t>Problem</t>
        </is>
      </c>
    </row>
    <row r="511">
      <c r="A511" t="n">
        <v>663</v>
      </c>
      <c r="B511" t="inlineStr">
        <is>
          <t>Robot Collisons</t>
        </is>
      </c>
      <c r="C511">
        <f>HYPERLINK("https://leetcode.com/problems/robot-collisions/","robot-collisions")</f>
        <v/>
      </c>
      <c r="D511" t="inlineStr">
        <is>
          <t>-</t>
        </is>
      </c>
      <c r="E511" t="inlineStr">
        <is>
          <t>Hard</t>
        </is>
      </c>
      <c r="F511" t="n">
        <v>11</v>
      </c>
      <c r="G511" t="inlineStr">
        <is>
          <t>Stack</t>
        </is>
      </c>
      <c r="H511" t="inlineStr">
        <is>
          <t>Advance Stack Problems</t>
        </is>
      </c>
      <c r="I511" t="inlineStr">
        <is>
          <t>Leetcode</t>
        </is>
      </c>
      <c r="J511" t="inlineStr">
        <is>
          <t>Problem</t>
        </is>
      </c>
    </row>
    <row r="512">
      <c r="A512" t="n">
        <v>828</v>
      </c>
      <c r="B512" t="inlineStr">
        <is>
          <t>Number of atoms</t>
        </is>
      </c>
      <c r="C512">
        <f>HYPERLINK("https://leetcode.com/problems/number-of-atoms/description/","number-of-atoms")</f>
        <v/>
      </c>
      <c r="D512" t="inlineStr">
        <is>
          <t>-</t>
        </is>
      </c>
      <c r="E512" t="inlineStr">
        <is>
          <t>Hard</t>
        </is>
      </c>
      <c r="F512" t="n">
        <v>11</v>
      </c>
      <c r="G512" t="inlineStr">
        <is>
          <t>Stack</t>
        </is>
      </c>
      <c r="H512" t="inlineStr">
        <is>
          <t>Advance Stack Problems</t>
        </is>
      </c>
      <c r="I512" t="inlineStr">
        <is>
          <t>Leetcode</t>
        </is>
      </c>
      <c r="J512" t="inlineStr">
        <is>
          <t>Problem</t>
        </is>
      </c>
    </row>
    <row r="513">
      <c r="A513" t="n">
        <v>155</v>
      </c>
      <c r="B513" t="inlineStr">
        <is>
          <t>Final Prices With a Special Discount in a Shop</t>
        </is>
      </c>
      <c r="C513">
        <f>HYPERLINK("https://leetcode.com/problems/final-prices-with-a-special-discount-in-a-shop","final-prices-with-a-special-discount-in-a-shop")</f>
        <v/>
      </c>
      <c r="D513" t="inlineStr">
        <is>
          <t>-</t>
        </is>
      </c>
      <c r="E513" t="inlineStr">
        <is>
          <t>Easy</t>
        </is>
      </c>
      <c r="F513" t="n">
        <v>11</v>
      </c>
      <c r="G513" t="inlineStr">
        <is>
          <t>Stack</t>
        </is>
      </c>
      <c r="H513" t="inlineStr">
        <is>
          <t>Monotonic Stack</t>
        </is>
      </c>
      <c r="I513" t="inlineStr">
        <is>
          <t>Leetcode</t>
        </is>
      </c>
      <c r="J513" t="inlineStr">
        <is>
          <t>Problem</t>
        </is>
      </c>
    </row>
    <row r="514">
      <c r="A514" t="n">
        <v>545</v>
      </c>
      <c r="B514" t="inlineStr">
        <is>
          <t>Next Greater Element I</t>
        </is>
      </c>
      <c r="C514">
        <f>HYPERLINK("https://leetcode.com/problems/next-greater-element-i","next-greater-element-i")</f>
        <v/>
      </c>
      <c r="D514">
        <f>HYPERLINK("https://read.learnyard.com/dsa/next-greater-element-i/","Read Article")</f>
        <v/>
      </c>
      <c r="E514" t="inlineStr">
        <is>
          <t>Easy</t>
        </is>
      </c>
      <c r="F514" t="n">
        <v>11</v>
      </c>
      <c r="G514" t="inlineStr">
        <is>
          <t>Stack</t>
        </is>
      </c>
      <c r="H514" t="inlineStr">
        <is>
          <t>Monotonic Stack</t>
        </is>
      </c>
      <c r="I514" t="inlineStr">
        <is>
          <t>Leetcode</t>
        </is>
      </c>
      <c r="J514" t="inlineStr">
        <is>
          <t>Problem</t>
        </is>
      </c>
    </row>
    <row r="515">
      <c r="A515" t="n">
        <v>546</v>
      </c>
      <c r="B515" t="inlineStr">
        <is>
          <t>Next Greater Element II</t>
        </is>
      </c>
      <c r="C515">
        <f>HYPERLINK("https://leetcode.com/problems/next-greater-element-ii","next-greater-element-ii")</f>
        <v/>
      </c>
      <c r="D515" t="inlineStr">
        <is>
          <t>-</t>
        </is>
      </c>
      <c r="E515" t="inlineStr">
        <is>
          <t>Medium</t>
        </is>
      </c>
      <c r="F515" t="n">
        <v>11</v>
      </c>
      <c r="G515" t="inlineStr">
        <is>
          <t>Stack</t>
        </is>
      </c>
      <c r="H515" t="inlineStr">
        <is>
          <t>Monotonic Stack</t>
        </is>
      </c>
      <c r="I515" t="inlineStr">
        <is>
          <t>Leetcode</t>
        </is>
      </c>
      <c r="J515" t="inlineStr">
        <is>
          <t>Problem</t>
        </is>
      </c>
    </row>
    <row r="516">
      <c r="A516" t="n">
        <v>548</v>
      </c>
      <c r="B516" t="inlineStr">
        <is>
          <t>Next Greater Element IV</t>
        </is>
      </c>
      <c r="C516">
        <f>HYPERLINK("https://leetcode.com/problems/next-greater-element-iv","next-greater-element-iv")</f>
        <v/>
      </c>
      <c r="D516" t="inlineStr">
        <is>
          <t>-</t>
        </is>
      </c>
      <c r="E516" t="inlineStr">
        <is>
          <t>Hard</t>
        </is>
      </c>
      <c r="F516" t="n">
        <v>11</v>
      </c>
      <c r="G516" t="inlineStr">
        <is>
          <t>Stack</t>
        </is>
      </c>
      <c r="H516" t="inlineStr">
        <is>
          <t>Monotonic Stack</t>
        </is>
      </c>
      <c r="I516" t="inlineStr">
        <is>
          <t>Leetcode</t>
        </is>
      </c>
      <c r="J516" t="inlineStr">
        <is>
          <t>Problem</t>
        </is>
      </c>
    </row>
    <row r="517">
      <c r="A517" t="n">
        <v>130</v>
      </c>
      <c r="B517" t="inlineStr">
        <is>
          <t>Daily Temperatures</t>
        </is>
      </c>
      <c r="C517">
        <f>HYPERLINK("https://leetcode.com/problems/daily-temperatures","daily-temperatures")</f>
        <v/>
      </c>
      <c r="D517" t="inlineStr">
        <is>
          <t>-</t>
        </is>
      </c>
      <c r="E517" t="inlineStr">
        <is>
          <t>Medium</t>
        </is>
      </c>
      <c r="F517" t="n">
        <v>11</v>
      </c>
      <c r="G517" t="inlineStr">
        <is>
          <t>Stack</t>
        </is>
      </c>
      <c r="H517" t="inlineStr">
        <is>
          <t>Monotonic Stack</t>
        </is>
      </c>
      <c r="I517" t="inlineStr">
        <is>
          <t>Leetcode</t>
        </is>
      </c>
      <c r="J517" t="inlineStr">
        <is>
          <t>Problem</t>
        </is>
      </c>
    </row>
    <row r="518">
      <c r="A518" t="n">
        <v>425</v>
      </c>
      <c r="B518" t="inlineStr">
        <is>
          <t>Car Fleet</t>
        </is>
      </c>
      <c r="C518">
        <f>HYPERLINK("https://leetcode.com/problems/car-fleet/","car-fleet")</f>
        <v/>
      </c>
      <c r="D518" t="inlineStr">
        <is>
          <t>-</t>
        </is>
      </c>
      <c r="E518" t="inlineStr">
        <is>
          <t>Medium</t>
        </is>
      </c>
      <c r="F518" t="n">
        <v>11</v>
      </c>
      <c r="G518" t="inlineStr">
        <is>
          <t>Stack</t>
        </is>
      </c>
      <c r="H518" t="inlineStr">
        <is>
          <t>Monotonic Stack</t>
        </is>
      </c>
      <c r="I518" t="inlineStr">
        <is>
          <t>Leetcode</t>
        </is>
      </c>
      <c r="J518" t="inlineStr">
        <is>
          <t>Problem</t>
        </is>
      </c>
    </row>
    <row r="519">
      <c r="A519" t="n">
        <v>447</v>
      </c>
      <c r="B519" t="inlineStr">
        <is>
          <t>Car Fleet II</t>
        </is>
      </c>
      <c r="C519">
        <f>HYPERLINK("https://leetcode.com/problems/car-fleet-ii/","car-fleet-ii")</f>
        <v/>
      </c>
      <c r="D519" t="inlineStr">
        <is>
          <t>-</t>
        </is>
      </c>
      <c r="E519" t="inlineStr">
        <is>
          <t>Hard</t>
        </is>
      </c>
      <c r="F519" t="n">
        <v>11</v>
      </c>
      <c r="G519" t="inlineStr">
        <is>
          <t>Stack</t>
        </is>
      </c>
      <c r="H519" t="inlineStr">
        <is>
          <t>Monotonic Stack</t>
        </is>
      </c>
      <c r="I519" t="inlineStr">
        <is>
          <t>Leetcode</t>
        </is>
      </c>
      <c r="J519" t="inlineStr">
        <is>
          <t>Problem</t>
        </is>
      </c>
    </row>
    <row r="520">
      <c r="A520" t="n">
        <v>23</v>
      </c>
      <c r="B520" t="inlineStr">
        <is>
          <t>132 Pattern</t>
        </is>
      </c>
      <c r="C520">
        <f>HYPERLINK("https://leetcode.com/problems/132-pattern","132-pattern")</f>
        <v/>
      </c>
      <c r="D520" t="inlineStr">
        <is>
          <t>-</t>
        </is>
      </c>
      <c r="E520" t="inlineStr">
        <is>
          <t>Medium</t>
        </is>
      </c>
      <c r="F520" t="n">
        <v>11</v>
      </c>
      <c r="G520" t="inlineStr">
        <is>
          <t>Stack</t>
        </is>
      </c>
      <c r="H520" t="inlineStr">
        <is>
          <t>Monotonic Stack</t>
        </is>
      </c>
      <c r="I520" t="inlineStr">
        <is>
          <t>Leetcode</t>
        </is>
      </c>
      <c r="J520" t="inlineStr">
        <is>
          <t>Problem</t>
        </is>
      </c>
    </row>
    <row r="521">
      <c r="A521" t="n">
        <v>696</v>
      </c>
      <c r="B521" t="inlineStr">
        <is>
          <t>Smallest Subsequence of Distinct Characters</t>
        </is>
      </c>
      <c r="C521">
        <f>HYPERLINK("https://leetcode.com/problems/smallest-subsequence-of-distinct-characters","smallest-subsequence-of-distinct-characters")</f>
        <v/>
      </c>
      <c r="D521" t="inlineStr">
        <is>
          <t>-</t>
        </is>
      </c>
      <c r="E521" t="inlineStr">
        <is>
          <t>Medium</t>
        </is>
      </c>
      <c r="F521" t="n">
        <v>11</v>
      </c>
      <c r="G521" t="inlineStr">
        <is>
          <t>Stack</t>
        </is>
      </c>
      <c r="H521" t="inlineStr">
        <is>
          <t>Monotonic Stack</t>
        </is>
      </c>
      <c r="I521" t="inlineStr">
        <is>
          <t>Leetcode</t>
        </is>
      </c>
      <c r="J521" t="inlineStr">
        <is>
          <t>Problem</t>
        </is>
      </c>
    </row>
    <row r="522">
      <c r="A522" t="n">
        <v>118</v>
      </c>
      <c r="B522" t="inlineStr">
        <is>
          <t>Count Submatrices With All Ones</t>
        </is>
      </c>
      <c r="C522">
        <f>HYPERLINK("https://leetcode.com/problems/count-submatrices-with-all-ones","count-submatrices-with-all-ones")</f>
        <v/>
      </c>
      <c r="D522" t="inlineStr">
        <is>
          <t>-</t>
        </is>
      </c>
      <c r="E522" t="inlineStr">
        <is>
          <t>Medium</t>
        </is>
      </c>
      <c r="F522" t="n">
        <v>11</v>
      </c>
      <c r="G522" t="inlineStr">
        <is>
          <t>Stack</t>
        </is>
      </c>
      <c r="H522" t="inlineStr">
        <is>
          <t>Monotonic Stack</t>
        </is>
      </c>
      <c r="I522" t="inlineStr">
        <is>
          <t>Leetcode</t>
        </is>
      </c>
      <c r="J522" t="inlineStr">
        <is>
          <t>Problem</t>
        </is>
      </c>
    </row>
    <row r="523">
      <c r="A523" t="n">
        <v>635</v>
      </c>
      <c r="B523" t="inlineStr">
        <is>
          <t>Remove Duplicate Letters</t>
        </is>
      </c>
      <c r="C523">
        <f>HYPERLINK("https://leetcode.com/problems/remove-duplicate-letters","remove-duplicate-letters")</f>
        <v/>
      </c>
      <c r="D523" t="inlineStr">
        <is>
          <t>-</t>
        </is>
      </c>
      <c r="E523" t="inlineStr">
        <is>
          <t>Medium</t>
        </is>
      </c>
      <c r="F523" t="n">
        <v>11</v>
      </c>
      <c r="G523" t="inlineStr">
        <is>
          <t>Stack</t>
        </is>
      </c>
      <c r="H523" t="inlineStr">
        <is>
          <t>Monotonic Stack</t>
        </is>
      </c>
      <c r="I523" t="inlineStr">
        <is>
          <t>Leetcode</t>
        </is>
      </c>
      <c r="J523" t="inlineStr">
        <is>
          <t>Problem</t>
        </is>
      </c>
    </row>
    <row r="524">
      <c r="A524" t="n">
        <v>744</v>
      </c>
      <c r="B524" t="inlineStr">
        <is>
          <t>The Number of Weak Characters in the Game</t>
        </is>
      </c>
      <c r="C524">
        <f>HYPERLINK("https://leetcode.com/problems/the-number-of-weak-characters-in-the-game","the-number-of-weak-characters-in-the-game")</f>
        <v/>
      </c>
      <c r="D524" t="inlineStr">
        <is>
          <t>-</t>
        </is>
      </c>
      <c r="E524" t="inlineStr">
        <is>
          <t>Medium</t>
        </is>
      </c>
      <c r="F524" t="n">
        <v>11</v>
      </c>
      <c r="G524" t="inlineStr">
        <is>
          <t>Stack</t>
        </is>
      </c>
      <c r="H524" t="inlineStr">
        <is>
          <t>Monotonic Stack</t>
        </is>
      </c>
      <c r="I524" t="inlineStr">
        <is>
          <t>Leetcode</t>
        </is>
      </c>
      <c r="J524" t="inlineStr">
        <is>
          <t>Problem</t>
        </is>
      </c>
    </row>
    <row r="525">
      <c r="A525" t="n">
        <v>345</v>
      </c>
      <c r="B525" t="inlineStr">
        <is>
          <t>Maximum Subarray Min-Product</t>
        </is>
      </c>
      <c r="C525">
        <f>HYPERLINK("https://leetcode.com/problems/maximum-subarray-min-product","maximum-subarray-min-product")</f>
        <v/>
      </c>
      <c r="D525" t="inlineStr">
        <is>
          <t>-</t>
        </is>
      </c>
      <c r="E525" t="inlineStr">
        <is>
          <t>Medium</t>
        </is>
      </c>
      <c r="F525" t="n">
        <v>11</v>
      </c>
      <c r="G525" t="inlineStr">
        <is>
          <t>Stack</t>
        </is>
      </c>
      <c r="H525" t="inlineStr">
        <is>
          <t>Monotonic Stack</t>
        </is>
      </c>
      <c r="I525" t="inlineStr">
        <is>
          <t>Leetcode</t>
        </is>
      </c>
      <c r="J525" t="inlineStr">
        <is>
          <t>Problem</t>
        </is>
      </c>
    </row>
    <row r="526">
      <c r="A526" t="n">
        <v>817</v>
      </c>
      <c r="B526" t="inlineStr">
        <is>
          <t>Sum of Subarray Minimums</t>
        </is>
      </c>
      <c r="C526">
        <f>HYPERLINK("https://leetcode.com/problems/sum-of-subarray-minimums","sum-of-subarray-minimums")</f>
        <v/>
      </c>
      <c r="D526" t="inlineStr">
        <is>
          <t>-</t>
        </is>
      </c>
      <c r="E526" t="inlineStr">
        <is>
          <t>Medium</t>
        </is>
      </c>
      <c r="F526" t="n">
        <v>11</v>
      </c>
      <c r="G526" t="inlineStr">
        <is>
          <t>Stack</t>
        </is>
      </c>
      <c r="H526" t="inlineStr">
        <is>
          <t>Monotonic Stack</t>
        </is>
      </c>
      <c r="I526" t="inlineStr">
        <is>
          <t>Leetcode</t>
        </is>
      </c>
      <c r="J526" t="inlineStr">
        <is>
          <t>Problem</t>
        </is>
      </c>
    </row>
    <row r="527">
      <c r="A527" t="n">
        <v>688</v>
      </c>
      <c r="B527" t="inlineStr">
        <is>
          <t>Shortest Unsorted Continuous Subarray</t>
        </is>
      </c>
      <c r="C527">
        <f>HYPERLINK("https://leetcode.com/problems/shortest-unsorted-continuous-subarray","shortest-unsorted-continuous-subarray")</f>
        <v/>
      </c>
      <c r="D527" t="inlineStr">
        <is>
          <t>-</t>
        </is>
      </c>
      <c r="E527" t="inlineStr">
        <is>
          <t>Medium</t>
        </is>
      </c>
      <c r="F527" t="n">
        <v>11</v>
      </c>
      <c r="G527" t="inlineStr">
        <is>
          <t>Stack</t>
        </is>
      </c>
      <c r="H527" t="inlineStr">
        <is>
          <t>Monotonic Stack</t>
        </is>
      </c>
      <c r="I527" t="inlineStr">
        <is>
          <t>Leetcode</t>
        </is>
      </c>
      <c r="J527" t="inlineStr">
        <is>
          <t>Problem</t>
        </is>
      </c>
    </row>
    <row r="528">
      <c r="A528" t="n">
        <v>639</v>
      </c>
      <c r="B528" t="inlineStr">
        <is>
          <t>Remove K Digits</t>
        </is>
      </c>
      <c r="C528">
        <f>HYPERLINK("https://leetcode.com/problems/remove-k-digits","remove-k-digits")</f>
        <v/>
      </c>
      <c r="D528" t="inlineStr">
        <is>
          <t>-</t>
        </is>
      </c>
      <c r="E528" t="inlineStr">
        <is>
          <t>Medium</t>
        </is>
      </c>
      <c r="F528" t="n">
        <v>11</v>
      </c>
      <c r="G528" t="inlineStr">
        <is>
          <t>Stack</t>
        </is>
      </c>
      <c r="H528" t="inlineStr">
        <is>
          <t>Monotonic Stack</t>
        </is>
      </c>
      <c r="I528" t="inlineStr">
        <is>
          <t>Leetcode</t>
        </is>
      </c>
      <c r="J528" t="inlineStr">
        <is>
          <t>Problem</t>
        </is>
      </c>
    </row>
    <row r="529">
      <c r="A529" t="n">
        <v>44</v>
      </c>
      <c r="B529" t="inlineStr">
        <is>
          <t>Beautiful Towers I</t>
        </is>
      </c>
      <c r="C529">
        <f>HYPERLINK("https://leetcode.com/problems/beautiful-towers-i/description/","beautiful-towers-i")</f>
        <v/>
      </c>
      <c r="D529" t="inlineStr">
        <is>
          <t>-</t>
        </is>
      </c>
      <c r="E529" t="inlineStr">
        <is>
          <t>Medium</t>
        </is>
      </c>
      <c r="F529" t="n">
        <v>11</v>
      </c>
      <c r="G529" t="inlineStr">
        <is>
          <t>Stack</t>
        </is>
      </c>
      <c r="H529" t="inlineStr">
        <is>
          <t>Monotonic Stack</t>
        </is>
      </c>
      <c r="I529" t="inlineStr">
        <is>
          <t>Leetcode</t>
        </is>
      </c>
      <c r="J529" t="inlineStr">
        <is>
          <t>Problem</t>
        </is>
      </c>
    </row>
    <row r="530">
      <c r="A530" t="n">
        <v>45</v>
      </c>
      <c r="B530" t="inlineStr">
        <is>
          <t>Beautiful Towers II</t>
        </is>
      </c>
      <c r="C530">
        <f>HYPERLINK("https://leetcode.com/problems/beautiful-towers-ii","beautiful-towers-ii")</f>
        <v/>
      </c>
      <c r="D530" t="inlineStr">
        <is>
          <t>-</t>
        </is>
      </c>
      <c r="E530" t="inlineStr">
        <is>
          <t>Medium</t>
        </is>
      </c>
      <c r="F530" t="n">
        <v>11</v>
      </c>
      <c r="G530" t="inlineStr">
        <is>
          <t>Stack</t>
        </is>
      </c>
      <c r="H530" t="inlineStr">
        <is>
          <t>Monotonic Stack</t>
        </is>
      </c>
      <c r="I530" t="inlineStr">
        <is>
          <t>Leetcode</t>
        </is>
      </c>
      <c r="J530" t="inlineStr">
        <is>
          <t>Problem</t>
        </is>
      </c>
    </row>
    <row r="531">
      <c r="A531" t="n">
        <v>581</v>
      </c>
      <c r="B531" t="inlineStr">
        <is>
          <t>Online Stock Span</t>
        </is>
      </c>
      <c r="C531">
        <f>HYPERLINK("https://leetcode.com/problems/online-stock-span","online-stock-span")</f>
        <v/>
      </c>
      <c r="D531" t="inlineStr">
        <is>
          <t>-</t>
        </is>
      </c>
      <c r="E531" t="inlineStr">
        <is>
          <t>Medium</t>
        </is>
      </c>
      <c r="F531" t="n">
        <v>11</v>
      </c>
      <c r="G531" t="inlineStr">
        <is>
          <t>Stack</t>
        </is>
      </c>
      <c r="H531" t="inlineStr">
        <is>
          <t>Monotonic Stack</t>
        </is>
      </c>
      <c r="I531" t="inlineStr">
        <is>
          <t>Leetcode</t>
        </is>
      </c>
      <c r="J531" t="inlineStr">
        <is>
          <t>Problem</t>
        </is>
      </c>
    </row>
    <row r="532">
      <c r="A532" t="n">
        <v>398</v>
      </c>
      <c r="B532" t="inlineStr">
        <is>
          <t>Minimum Number of Increments on Subarrays to Form a Target Array</t>
        </is>
      </c>
      <c r="C532">
        <f>HYPERLINK("https://leetcode.com/problems/minimum-number-of-increments-on-subarrays-to-form-a-target-array","minimum-number-of-increments-on-subarrays-to-form-a-target-array")</f>
        <v/>
      </c>
      <c r="D532" t="inlineStr">
        <is>
          <t>-</t>
        </is>
      </c>
      <c r="E532" t="inlineStr">
        <is>
          <t>Hard</t>
        </is>
      </c>
      <c r="F532" t="n">
        <v>11</v>
      </c>
      <c r="G532" t="inlineStr">
        <is>
          <t>Stack</t>
        </is>
      </c>
      <c r="H532" t="inlineStr">
        <is>
          <t>Monotonic Stack</t>
        </is>
      </c>
      <c r="I532" t="inlineStr">
        <is>
          <t>Leetcode</t>
        </is>
      </c>
      <c r="J532" t="inlineStr">
        <is>
          <t>Problem</t>
        </is>
      </c>
    </row>
    <row r="533">
      <c r="A533" t="n">
        <v>340</v>
      </c>
      <c r="B533" t="inlineStr">
        <is>
          <t>Maximum Score of a Good Subarray</t>
        </is>
      </c>
      <c r="C533">
        <f>HYPERLINK("https://leetcode.com/problems/maximum-score-of-a-good-subarray","maximum-score-of-a-good-subarray")</f>
        <v/>
      </c>
      <c r="D533" t="inlineStr">
        <is>
          <t>-</t>
        </is>
      </c>
      <c r="E533" t="inlineStr">
        <is>
          <t>Hard</t>
        </is>
      </c>
      <c r="F533" t="n">
        <v>11</v>
      </c>
      <c r="G533" t="inlineStr">
        <is>
          <t>Stack</t>
        </is>
      </c>
      <c r="H533" t="inlineStr">
        <is>
          <t>Monotonic Stack</t>
        </is>
      </c>
      <c r="I533" t="inlineStr">
        <is>
          <t>Leetcode</t>
        </is>
      </c>
      <c r="J533" t="inlineStr">
        <is>
          <t>Problem</t>
        </is>
      </c>
    </row>
    <row r="534">
      <c r="A534" t="n">
        <v>571</v>
      </c>
      <c r="B534" t="inlineStr">
        <is>
          <t>Number of Visible People in a Queue</t>
        </is>
      </c>
      <c r="C534">
        <f>HYPERLINK("https://leetcode.com/problems/number-of-visible-people-in-a-queue","number-of-visible-people-in-a-queue")</f>
        <v/>
      </c>
      <c r="D534" t="inlineStr">
        <is>
          <t>-</t>
        </is>
      </c>
      <c r="E534" t="inlineStr">
        <is>
          <t>Hard</t>
        </is>
      </c>
      <c r="F534" t="n">
        <v>11</v>
      </c>
      <c r="G534" t="inlineStr">
        <is>
          <t>Stack</t>
        </is>
      </c>
      <c r="H534" t="inlineStr">
        <is>
          <t>Monotonic Stack</t>
        </is>
      </c>
      <c r="I534" t="inlineStr">
        <is>
          <t>Leetcode</t>
        </is>
      </c>
      <c r="J534" t="inlineStr">
        <is>
          <t>Problem</t>
        </is>
      </c>
    </row>
    <row r="535">
      <c r="A535" t="n">
        <v>751</v>
      </c>
      <c r="B535" t="inlineStr">
        <is>
          <t>Trapping Rain Water</t>
        </is>
      </c>
      <c r="C535">
        <f>HYPERLINK("https://leetcode.com/problems/trapping-rain-water","trapping-rain-water")</f>
        <v/>
      </c>
      <c r="D535" t="inlineStr">
        <is>
          <t>-</t>
        </is>
      </c>
      <c r="E535" t="inlineStr">
        <is>
          <t>Hard</t>
        </is>
      </c>
      <c r="F535" t="n">
        <v>11</v>
      </c>
      <c r="G535" t="inlineStr">
        <is>
          <t>Stack</t>
        </is>
      </c>
      <c r="H535" t="inlineStr">
        <is>
          <t>Monotonic Stack</t>
        </is>
      </c>
      <c r="I535" t="inlineStr">
        <is>
          <t>Leetcode</t>
        </is>
      </c>
      <c r="J535" t="inlineStr">
        <is>
          <t>Problem</t>
        </is>
      </c>
    </row>
    <row r="536">
      <c r="A536" t="n">
        <v>305</v>
      </c>
      <c r="B536" t="inlineStr">
        <is>
          <t>Maximal Rectangle</t>
        </is>
      </c>
      <c r="C536">
        <f>HYPERLINK("https://leetcode.com/problems/maximal-rectangle","maximal-rectangle")</f>
        <v/>
      </c>
      <c r="D536" t="inlineStr">
        <is>
          <t>-</t>
        </is>
      </c>
      <c r="E536" t="inlineStr">
        <is>
          <t>Hard</t>
        </is>
      </c>
      <c r="F536" t="n">
        <v>11</v>
      </c>
      <c r="G536" t="inlineStr">
        <is>
          <t>Stack</t>
        </is>
      </c>
      <c r="H536" t="inlineStr">
        <is>
          <t>Monotonic Stack</t>
        </is>
      </c>
      <c r="I536" t="inlineStr">
        <is>
          <t>Leetcode</t>
        </is>
      </c>
      <c r="J536" t="inlineStr">
        <is>
          <t>Problem</t>
        </is>
      </c>
    </row>
    <row r="537">
      <c r="A537" t="n">
        <v>239</v>
      </c>
      <c r="B537" t="inlineStr">
        <is>
          <t>Largest Rectangle in Histogram</t>
        </is>
      </c>
      <c r="C537">
        <f>HYPERLINK("https://leetcode.com/problems/largest-rectangle-in-histogram","largest-rectangle-in-histogram")</f>
        <v/>
      </c>
      <c r="D537" t="inlineStr">
        <is>
          <t>-</t>
        </is>
      </c>
      <c r="E537" t="inlineStr">
        <is>
          <t>Hard</t>
        </is>
      </c>
      <c r="F537" t="n">
        <v>11</v>
      </c>
      <c r="G537" t="inlineStr">
        <is>
          <t>Stack</t>
        </is>
      </c>
      <c r="H537" t="inlineStr">
        <is>
          <t>Monotonic Stack</t>
        </is>
      </c>
      <c r="I537" t="inlineStr">
        <is>
          <t>Leetcode</t>
        </is>
      </c>
      <c r="J537" t="inlineStr">
        <is>
          <t>Problem</t>
        </is>
      </c>
    </row>
    <row r="538">
      <c r="A538" t="n">
        <v>279</v>
      </c>
      <c r="B538" t="inlineStr">
        <is>
          <t>Create Maximum Number</t>
        </is>
      </c>
      <c r="C538">
        <f>HYPERLINK("https://leetcode.com/problems/create-maximum-number","create-maximum-number")</f>
        <v/>
      </c>
      <c r="D538" t="inlineStr">
        <is>
          <t>-</t>
        </is>
      </c>
      <c r="E538" t="inlineStr">
        <is>
          <t>Hard</t>
        </is>
      </c>
      <c r="F538" t="n">
        <v>11</v>
      </c>
      <c r="G538" t="inlineStr">
        <is>
          <t>Stack</t>
        </is>
      </c>
      <c r="H538" t="inlineStr">
        <is>
          <t>Monotonic Stack</t>
        </is>
      </c>
      <c r="I538" t="inlineStr">
        <is>
          <t>Leetcode</t>
        </is>
      </c>
      <c r="J538" t="inlineStr">
        <is>
          <t>Problem</t>
        </is>
      </c>
    </row>
    <row r="539">
      <c r="A539" t="n">
        <v>164</v>
      </c>
      <c r="B539" t="inlineStr">
        <is>
          <t>Find Building Where Alice And Bob Can Meet</t>
        </is>
      </c>
      <c r="C539">
        <f>HYPERLINK("https://leetcode.com/problems/find-building-where-alice-and-bob-can-meet/","find-building-where-alice-and-bob-can-meet")</f>
        <v/>
      </c>
      <c r="D539" t="inlineStr">
        <is>
          <t>-</t>
        </is>
      </c>
      <c r="E539" t="inlineStr">
        <is>
          <t>Hard</t>
        </is>
      </c>
      <c r="F539" t="n">
        <v>11</v>
      </c>
      <c r="G539" t="inlineStr">
        <is>
          <t>Stack</t>
        </is>
      </c>
      <c r="H539" t="inlineStr">
        <is>
          <t>Monotonic Stack</t>
        </is>
      </c>
      <c r="I539" t="inlineStr">
        <is>
          <t>Leetcode</t>
        </is>
      </c>
      <c r="J539" t="inlineStr">
        <is>
          <t>Problem</t>
        </is>
      </c>
    </row>
    <row r="540">
      <c r="A540" t="n">
        <v>733</v>
      </c>
      <c r="B540" t="inlineStr">
        <is>
          <t>Sum Of Total Strength Of Wizards</t>
        </is>
      </c>
      <c r="C540">
        <f>HYPERLINK("https://leetcode.com/problems/sum-of-total-strength-of-wizards/","sum-of-total-strength-of-wizards")</f>
        <v/>
      </c>
      <c r="D540" t="inlineStr">
        <is>
          <t>-</t>
        </is>
      </c>
      <c r="E540" t="inlineStr">
        <is>
          <t>Hard</t>
        </is>
      </c>
      <c r="F540" t="n">
        <v>11</v>
      </c>
      <c r="G540" t="inlineStr">
        <is>
          <t>Stack</t>
        </is>
      </c>
      <c r="H540" t="inlineStr">
        <is>
          <t>Monotonic Stack</t>
        </is>
      </c>
      <c r="I540" t="inlineStr">
        <is>
          <t>Leetcode</t>
        </is>
      </c>
      <c r="J540" t="inlineStr">
        <is>
          <t>Problem</t>
        </is>
      </c>
    </row>
    <row r="541">
      <c r="A541" t="n">
        <v>192</v>
      </c>
      <c r="B541" t="inlineStr">
        <is>
          <t>Find the Number of Subarrays Where Boundary Elements Are Maximum</t>
        </is>
      </c>
      <c r="C541">
        <f>HYPERLINK("https://leetcode.com/problems/find-the-number-of-subarrays-where-boundary-elements-are-maximum/","find-the-number-of-subarrays-where-boundary-elements-are-maximum")</f>
        <v/>
      </c>
      <c r="D541" t="inlineStr">
        <is>
          <t>-</t>
        </is>
      </c>
      <c r="E541" t="inlineStr">
        <is>
          <t>Hard</t>
        </is>
      </c>
      <c r="F541" t="n">
        <v>11</v>
      </c>
      <c r="G541" t="inlineStr">
        <is>
          <t>Stack</t>
        </is>
      </c>
      <c r="H541" t="inlineStr">
        <is>
          <t>Monotonic Stack</t>
        </is>
      </c>
      <c r="I541" t="inlineStr">
        <is>
          <t>Leetcode</t>
        </is>
      </c>
      <c r="J541" t="inlineStr">
        <is>
          <t>Problem</t>
        </is>
      </c>
    </row>
    <row r="542">
      <c r="A542" t="n">
        <v>1459</v>
      </c>
      <c r="B542" t="inlineStr">
        <is>
          <t>C++ STL (queue)</t>
        </is>
      </c>
      <c r="C542">
        <f>HYPERLINK("https://www.geeksforgeeks.org/problems/c-stl-set-5-queue/1?page=2&amp;category=Queue&amp;sortBy=submissions","Solve Problem")</f>
        <v/>
      </c>
      <c r="D542" t="inlineStr">
        <is>
          <t>-</t>
        </is>
      </c>
      <c r="E542" t="inlineStr">
        <is>
          <t>Easy</t>
        </is>
      </c>
      <c r="F542" t="n">
        <v>12</v>
      </c>
      <c r="G542" t="inlineStr">
        <is>
          <t>Queue</t>
        </is>
      </c>
      <c r="H542" t="inlineStr">
        <is>
          <t>Implementation Problems</t>
        </is>
      </c>
      <c r="I542" t="inlineStr">
        <is>
          <t>Geeksforgeeks</t>
        </is>
      </c>
      <c r="J542" t="inlineStr">
        <is>
          <t>Problem</t>
        </is>
      </c>
    </row>
    <row r="543">
      <c r="A543" t="n">
        <v>1484</v>
      </c>
      <c r="B543" t="inlineStr">
        <is>
          <t>Implement Queue using Array</t>
        </is>
      </c>
      <c r="C543">
        <f>HYPERLINK("https://www.geeksforgeeks.org/problems/implement-queue-using-array/1","Solve Problem")</f>
        <v/>
      </c>
      <c r="D543" t="inlineStr">
        <is>
          <t>-</t>
        </is>
      </c>
      <c r="E543" t="inlineStr">
        <is>
          <t>Easy</t>
        </is>
      </c>
      <c r="F543" t="n">
        <v>12</v>
      </c>
      <c r="G543" t="inlineStr">
        <is>
          <t>Queue</t>
        </is>
      </c>
      <c r="H543" t="inlineStr">
        <is>
          <t>Implementation Problems</t>
        </is>
      </c>
      <c r="I543" t="inlineStr">
        <is>
          <t>Geeksforgeeks</t>
        </is>
      </c>
      <c r="J543" t="inlineStr">
        <is>
          <t>Problem</t>
        </is>
      </c>
    </row>
    <row r="544">
      <c r="A544" t="n">
        <v>504</v>
      </c>
      <c r="B544" t="inlineStr">
        <is>
          <t>Implement Stack using Queues</t>
        </is>
      </c>
      <c r="C544">
        <f>HYPERLINK("https://leetcode.com/problems/implement-stack-using-queues/","implement-stack-using-queues")</f>
        <v/>
      </c>
      <c r="D544" t="inlineStr">
        <is>
          <t>-</t>
        </is>
      </c>
      <c r="E544" t="inlineStr">
        <is>
          <t>Easy</t>
        </is>
      </c>
      <c r="F544" t="n">
        <v>12</v>
      </c>
      <c r="G544" t="inlineStr">
        <is>
          <t>Queue</t>
        </is>
      </c>
      <c r="H544" t="inlineStr">
        <is>
          <t>Implementation Problems</t>
        </is>
      </c>
      <c r="I544" t="inlineStr">
        <is>
          <t>Leetcode</t>
        </is>
      </c>
      <c r="J544" t="inlineStr">
        <is>
          <t>Problem</t>
        </is>
      </c>
    </row>
    <row r="545">
      <c r="A545" t="n">
        <v>472</v>
      </c>
      <c r="B545" t="inlineStr">
        <is>
          <t>Implement Queue using Stacks</t>
        </is>
      </c>
      <c r="C545">
        <f>HYPERLINK("https://leetcode.com/problems/implement-queue-using-stacks/","implement-queue-using-stacks")</f>
        <v/>
      </c>
      <c r="D545" t="inlineStr">
        <is>
          <t>-</t>
        </is>
      </c>
      <c r="E545" t="inlineStr">
        <is>
          <t>Easy</t>
        </is>
      </c>
      <c r="F545" t="n">
        <v>12</v>
      </c>
      <c r="G545" t="inlineStr">
        <is>
          <t>Queue</t>
        </is>
      </c>
      <c r="H545" t="inlineStr">
        <is>
          <t>Implementation Problems</t>
        </is>
      </c>
      <c r="I545" t="inlineStr">
        <is>
          <t>Leetcode</t>
        </is>
      </c>
      <c r="J545" t="inlineStr">
        <is>
          <t>Problem</t>
        </is>
      </c>
    </row>
    <row r="546">
      <c r="A546" t="n">
        <v>1507</v>
      </c>
      <c r="B546" t="inlineStr">
        <is>
          <t>Queue using Two Stacks</t>
        </is>
      </c>
      <c r="C546">
        <f>HYPERLINK("https://www.geeksforgeeks.org/problems/queue-using-two-stacks/1?page=1&amp;category=Queue&amp;sortBy=submissions","Solve Problem")</f>
        <v/>
      </c>
      <c r="D546" t="inlineStr">
        <is>
          <t>-</t>
        </is>
      </c>
      <c r="E546" t="inlineStr">
        <is>
          <t>Easy</t>
        </is>
      </c>
      <c r="F546" t="n">
        <v>12</v>
      </c>
      <c r="G546" t="inlineStr">
        <is>
          <t>Queue</t>
        </is>
      </c>
      <c r="H546" t="inlineStr">
        <is>
          <t>Implementation Problems</t>
        </is>
      </c>
      <c r="I546" t="inlineStr">
        <is>
          <t>Geeksforgeeks</t>
        </is>
      </c>
      <c r="J546" t="inlineStr">
        <is>
          <t>Problem</t>
        </is>
      </c>
    </row>
    <row r="547">
      <c r="A547" t="n">
        <v>1483</v>
      </c>
      <c r="B547" t="inlineStr">
        <is>
          <t>Implement Queue using Linked List</t>
        </is>
      </c>
      <c r="C547">
        <f>HYPERLINK("https://www.geeksforgeeks.org/problems/implement-queue-using-linked-list/1","Solve Problem")</f>
        <v/>
      </c>
      <c r="D547" t="inlineStr">
        <is>
          <t>-</t>
        </is>
      </c>
      <c r="E547" t="inlineStr">
        <is>
          <t>Easy</t>
        </is>
      </c>
      <c r="F547" t="n">
        <v>12</v>
      </c>
      <c r="G547" t="inlineStr">
        <is>
          <t>Queue</t>
        </is>
      </c>
      <c r="H547" t="inlineStr">
        <is>
          <t>Implementation Problems</t>
        </is>
      </c>
      <c r="I547" t="inlineStr">
        <is>
          <t>Geeksforgeeks</t>
        </is>
      </c>
      <c r="J547" t="inlineStr">
        <is>
          <t>Problem</t>
        </is>
      </c>
    </row>
    <row r="548">
      <c r="A548" t="n">
        <v>453</v>
      </c>
      <c r="B548" t="inlineStr">
        <is>
          <t>Design Circular Queue</t>
        </is>
      </c>
      <c r="C548">
        <f>HYPERLINK("https://leetcode.com/problems/design-circular-queue/","design-circular-queue")</f>
        <v/>
      </c>
      <c r="D548" t="inlineStr">
        <is>
          <t>-</t>
        </is>
      </c>
      <c r="E548" t="inlineStr">
        <is>
          <t>Medium</t>
        </is>
      </c>
      <c r="F548" t="n">
        <v>12</v>
      </c>
      <c r="G548" t="inlineStr">
        <is>
          <t>Queue</t>
        </is>
      </c>
      <c r="H548" t="inlineStr">
        <is>
          <t>Implementation Problems</t>
        </is>
      </c>
      <c r="I548" t="inlineStr">
        <is>
          <t>Leetcode</t>
        </is>
      </c>
      <c r="J548" t="inlineStr">
        <is>
          <t>Problem</t>
        </is>
      </c>
    </row>
    <row r="549">
      <c r="A549" t="n">
        <v>454</v>
      </c>
      <c r="B549" t="inlineStr">
        <is>
          <t>Design Front Middle Back Queue</t>
        </is>
      </c>
      <c r="C549">
        <f>HYPERLINK("https://leetcode.com/problems/design-front-middle-back-queue/","design-front-middle-back-queue")</f>
        <v/>
      </c>
      <c r="D549" t="inlineStr">
        <is>
          <t>-</t>
        </is>
      </c>
      <c r="E549" t="inlineStr">
        <is>
          <t>Medium</t>
        </is>
      </c>
      <c r="F549" t="n">
        <v>12</v>
      </c>
      <c r="G549" t="inlineStr">
        <is>
          <t>Queue</t>
        </is>
      </c>
      <c r="H549" t="inlineStr">
        <is>
          <t>Implementation Problems</t>
        </is>
      </c>
      <c r="I549" t="inlineStr">
        <is>
          <t>Leetcode</t>
        </is>
      </c>
      <c r="J549" t="inlineStr">
        <is>
          <t>Problem</t>
        </is>
      </c>
    </row>
    <row r="550">
      <c r="A550" t="n">
        <v>1531</v>
      </c>
      <c r="B550" t="inlineStr">
        <is>
          <t>N-Queue using Array</t>
        </is>
      </c>
      <c r="C550">
        <f>HYPERLINK("https://www.naukri.com/code360/problems/n-queue-using-array_1170053?count=25&amp;page=1&amp;search=&amp;sort_entity=order&amp;sort_order=ASC","Solve Problem")</f>
        <v/>
      </c>
      <c r="D550" t="inlineStr">
        <is>
          <t>-</t>
        </is>
      </c>
      <c r="E550" t="inlineStr">
        <is>
          <t>Hard</t>
        </is>
      </c>
      <c r="F550" t="n">
        <v>12</v>
      </c>
      <c r="G550" t="inlineStr">
        <is>
          <t>Queue</t>
        </is>
      </c>
      <c r="H550" t="inlineStr">
        <is>
          <t>Implementation Problems</t>
        </is>
      </c>
      <c r="I550" t="inlineStr">
        <is>
          <t>Geeksforgeeks</t>
        </is>
      </c>
      <c r="J550" t="inlineStr">
        <is>
          <t>Problem</t>
        </is>
      </c>
    </row>
    <row r="551">
      <c r="A551" t="n">
        <v>1508</v>
      </c>
      <c r="B551" t="inlineStr">
        <is>
          <t>Reverse First K Elements of Queue</t>
        </is>
      </c>
      <c r="C551">
        <f>HYPERLINK("https://www.geeksforgeeks.org/problems/reverse-first-k-elements-of-queue/1?page=1&amp;category=Queue&amp;sortBy=submissions","Solve Problem")</f>
        <v/>
      </c>
      <c r="D551" t="inlineStr">
        <is>
          <t>-</t>
        </is>
      </c>
      <c r="E551" t="inlineStr">
        <is>
          <t>Easy</t>
        </is>
      </c>
      <c r="F551" t="n">
        <v>12</v>
      </c>
      <c r="G551" t="inlineStr">
        <is>
          <t>Queue</t>
        </is>
      </c>
      <c r="H551" t="inlineStr">
        <is>
          <t>Singly-Ended Queue</t>
        </is>
      </c>
      <c r="I551" t="inlineStr">
        <is>
          <t>Geeksforgeeks</t>
        </is>
      </c>
      <c r="J551" t="inlineStr">
        <is>
          <t>Problem</t>
        </is>
      </c>
    </row>
    <row r="552">
      <c r="A552" t="n">
        <v>1480</v>
      </c>
      <c r="B552" t="inlineStr">
        <is>
          <t>First Non-Repeating Character in a Stream</t>
        </is>
      </c>
      <c r="C552">
        <f>HYPERLINK("https://www.geeksforgeeks.org/problems/first-non-repeating-character-in-a-stream1216/1?page=1&amp;category=Queue&amp;sortBy=submissions","Solve Problem")</f>
        <v/>
      </c>
      <c r="D552" t="inlineStr">
        <is>
          <t>-</t>
        </is>
      </c>
      <c r="E552" t="inlineStr">
        <is>
          <t>Easy</t>
        </is>
      </c>
      <c r="F552" t="n">
        <v>12</v>
      </c>
      <c r="G552" t="inlineStr">
        <is>
          <t>Queue</t>
        </is>
      </c>
      <c r="H552" t="inlineStr">
        <is>
          <t>Singly-Ended Queue</t>
        </is>
      </c>
      <c r="I552" t="inlineStr">
        <is>
          <t>Geeksforgeeks</t>
        </is>
      </c>
      <c r="J552" t="inlineStr">
        <is>
          <t>Problem</t>
        </is>
      </c>
    </row>
    <row r="553">
      <c r="A553" t="n">
        <v>1475</v>
      </c>
      <c r="B553" t="inlineStr">
        <is>
          <t>First Negative Integer in Every Window of Size K</t>
        </is>
      </c>
      <c r="C553">
        <f>HYPERLINK("https://www.geeksforgeeks.org/problems/first-negative-integer-in-every-window-of-size-k3345/1?page=1&amp;category=Queue&amp;sortBy=submissions","Solve Problem")</f>
        <v/>
      </c>
      <c r="D553" t="inlineStr">
        <is>
          <t>-</t>
        </is>
      </c>
      <c r="E553" t="inlineStr">
        <is>
          <t>Medium</t>
        </is>
      </c>
      <c r="F553" t="n">
        <v>12</v>
      </c>
      <c r="G553" t="inlineStr">
        <is>
          <t>Queue</t>
        </is>
      </c>
      <c r="H553" t="inlineStr">
        <is>
          <t>Singly-Ended Queue</t>
        </is>
      </c>
      <c r="I553" t="inlineStr">
        <is>
          <t>Geeksforgeeks</t>
        </is>
      </c>
      <c r="J553" t="inlineStr">
        <is>
          <t>Problem</t>
        </is>
      </c>
    </row>
    <row r="554">
      <c r="A554" t="n">
        <v>151</v>
      </c>
      <c r="B554" t="inlineStr">
        <is>
          <t>Dota2 Senate</t>
        </is>
      </c>
      <c r="C554">
        <f>HYPERLINK("https://leetcode.com/problems/dota2-senate/","dota2-senate")</f>
        <v/>
      </c>
      <c r="D554" t="inlineStr">
        <is>
          <t>-</t>
        </is>
      </c>
      <c r="E554" t="inlineStr">
        <is>
          <t>Medium</t>
        </is>
      </c>
      <c r="F554" t="n">
        <v>12</v>
      </c>
      <c r="G554" t="inlineStr">
        <is>
          <t>Queue</t>
        </is>
      </c>
      <c r="H554" t="inlineStr">
        <is>
          <t>Singly-Ended Queue</t>
        </is>
      </c>
      <c r="I554" t="inlineStr">
        <is>
          <t>Leetcode</t>
        </is>
      </c>
      <c r="J554" t="inlineStr">
        <is>
          <t>Problem</t>
        </is>
      </c>
    </row>
    <row r="555">
      <c r="A555" t="n">
        <v>195</v>
      </c>
      <c r="B555" t="inlineStr">
        <is>
          <t>Find the Winner of the Circular Game</t>
        </is>
      </c>
      <c r="C555">
        <f>HYPERLINK("https://leetcode.com/problems/find-the-winner-of-the-circular-game/","find-the-winner-of-the-circular-game")</f>
        <v/>
      </c>
      <c r="D555" t="inlineStr">
        <is>
          <t>-</t>
        </is>
      </c>
      <c r="E555" t="inlineStr">
        <is>
          <t>Medium</t>
        </is>
      </c>
      <c r="F555" t="n">
        <v>12</v>
      </c>
      <c r="G555" t="inlineStr">
        <is>
          <t>Queue</t>
        </is>
      </c>
      <c r="H555" t="inlineStr">
        <is>
          <t>Singly-Ended Queue</t>
        </is>
      </c>
      <c r="I555" t="inlineStr">
        <is>
          <t>Leetcode</t>
        </is>
      </c>
      <c r="J555" t="inlineStr">
        <is>
          <t>Problem</t>
        </is>
      </c>
    </row>
    <row r="556">
      <c r="A556" t="n">
        <v>650</v>
      </c>
      <c r="B556" t="inlineStr">
        <is>
          <t>Reveal Cards in Increasing Order</t>
        </is>
      </c>
      <c r="C556">
        <f>HYPERLINK("https://leetcode.com/problems/reveal-cards-in-increasing-order/","reveal-cards-in-increasing-order")</f>
        <v/>
      </c>
      <c r="D556" t="inlineStr">
        <is>
          <t>-</t>
        </is>
      </c>
      <c r="E556" t="inlineStr">
        <is>
          <t>Medium</t>
        </is>
      </c>
      <c r="F556" t="n">
        <v>12</v>
      </c>
      <c r="G556" t="inlineStr">
        <is>
          <t>Queue</t>
        </is>
      </c>
      <c r="H556" t="inlineStr">
        <is>
          <t>Singly-Ended Queue</t>
        </is>
      </c>
      <c r="I556" t="inlineStr">
        <is>
          <t>Leetcode</t>
        </is>
      </c>
      <c r="J556" t="inlineStr">
        <is>
          <t>Problem</t>
        </is>
      </c>
    </row>
    <row r="557">
      <c r="A557" t="n">
        <v>399</v>
      </c>
      <c r="B557" t="inlineStr">
        <is>
          <t>Minimum Number of K Consecutive Bit Flips</t>
        </is>
      </c>
      <c r="C557">
        <f>HYPERLINK("https://leetcode.com/problems/minimum-number-of-k-consecutive-bit-flips/","minimum-number-of-k-consecutive-bit-flips")</f>
        <v/>
      </c>
      <c r="D557" t="inlineStr">
        <is>
          <t>-</t>
        </is>
      </c>
      <c r="E557" t="inlineStr">
        <is>
          <t>Hard</t>
        </is>
      </c>
      <c r="F557" t="n">
        <v>12</v>
      </c>
      <c r="G557" t="inlineStr">
        <is>
          <t>Queue</t>
        </is>
      </c>
      <c r="H557" t="inlineStr">
        <is>
          <t>Singly-Ended Queue</t>
        </is>
      </c>
      <c r="I557" t="inlineStr">
        <is>
          <t>Leetcode</t>
        </is>
      </c>
      <c r="J557" t="inlineStr">
        <is>
          <t>Problem</t>
        </is>
      </c>
    </row>
    <row r="558">
      <c r="A558" t="n">
        <v>712</v>
      </c>
      <c r="B558" t="inlineStr">
        <is>
          <t>Stamping the Sequence</t>
        </is>
      </c>
      <c r="C558">
        <f>HYPERLINK("https://leetcode.com/problems/stamping-the-sequence","stamping-the-sequence")</f>
        <v/>
      </c>
      <c r="D558" t="inlineStr">
        <is>
          <t>-</t>
        </is>
      </c>
      <c r="E558" t="inlineStr">
        <is>
          <t>Hard</t>
        </is>
      </c>
      <c r="F558" t="n">
        <v>12</v>
      </c>
      <c r="G558" t="inlineStr">
        <is>
          <t>Queue</t>
        </is>
      </c>
      <c r="H558" t="inlineStr">
        <is>
          <t>Singly-Ended Queue</t>
        </is>
      </c>
      <c r="I558" t="inlineStr">
        <is>
          <t>Leetcode</t>
        </is>
      </c>
      <c r="J558" t="inlineStr">
        <is>
          <t>Problem</t>
        </is>
      </c>
    </row>
    <row r="559">
      <c r="A559" t="n">
        <v>1469</v>
      </c>
      <c r="B559" t="inlineStr">
        <is>
          <t>Deque Implementations</t>
        </is>
      </c>
      <c r="C559">
        <f>HYPERLINK("https://www.geeksforgeeks.org/problems/deque-implementations/1?page=2&amp;category=Queue&amp;sortBy=submissions","Solve Problem")</f>
        <v/>
      </c>
      <c r="D559" t="inlineStr">
        <is>
          <t>-</t>
        </is>
      </c>
      <c r="E559" t="inlineStr">
        <is>
          <t>Easy</t>
        </is>
      </c>
      <c r="F559" t="n">
        <v>12</v>
      </c>
      <c r="G559" t="inlineStr">
        <is>
          <t>Queue</t>
        </is>
      </c>
      <c r="H559" t="inlineStr">
        <is>
          <t>Doubly-Ended Queue</t>
        </is>
      </c>
      <c r="I559" t="inlineStr">
        <is>
          <t>Geeksforgeeks</t>
        </is>
      </c>
      <c r="J559" t="inlineStr">
        <is>
          <t>Problem</t>
        </is>
      </c>
    </row>
    <row r="560">
      <c r="A560" t="n">
        <v>452</v>
      </c>
      <c r="B560" t="inlineStr">
        <is>
          <t>Design Circular Deque</t>
        </is>
      </c>
      <c r="C560">
        <f>HYPERLINK("https://leetcode.com/problems/design-circular-deque/","design-circular-deque")</f>
        <v/>
      </c>
      <c r="D560" t="inlineStr">
        <is>
          <t>-</t>
        </is>
      </c>
      <c r="E560" t="inlineStr">
        <is>
          <t>Medium</t>
        </is>
      </c>
      <c r="F560" t="n">
        <v>12</v>
      </c>
      <c r="G560" t="inlineStr">
        <is>
          <t>Queue</t>
        </is>
      </c>
      <c r="H560" t="inlineStr">
        <is>
          <t>Doubly-Ended Queue</t>
        </is>
      </c>
      <c r="I560" t="inlineStr">
        <is>
          <t>Leetcode</t>
        </is>
      </c>
      <c r="J560" t="inlineStr">
        <is>
          <t>Problem</t>
        </is>
      </c>
    </row>
    <row r="561">
      <c r="A561" t="n">
        <v>224</v>
      </c>
      <c r="B561" t="inlineStr">
        <is>
          <t>Jump Game VI</t>
        </is>
      </c>
      <c r="C561">
        <f>HYPERLINK("https://leetcode.com/problems/jump-game-vi/","jump-game-vi")</f>
        <v/>
      </c>
      <c r="D561" t="inlineStr">
        <is>
          <t>-</t>
        </is>
      </c>
      <c r="E561" t="inlineStr">
        <is>
          <t>Medium</t>
        </is>
      </c>
      <c r="F561" t="n">
        <v>12</v>
      </c>
      <c r="G561" t="inlineStr">
        <is>
          <t>Queue</t>
        </is>
      </c>
      <c r="H561" t="inlineStr">
        <is>
          <t>Doubly-Ended Queue</t>
        </is>
      </c>
      <c r="I561" t="inlineStr">
        <is>
          <t>Leetcode</t>
        </is>
      </c>
      <c r="J561" t="inlineStr">
        <is>
          <t>Problem</t>
        </is>
      </c>
    </row>
    <row r="562">
      <c r="A562" t="n">
        <v>93</v>
      </c>
      <c r="B562" t="inlineStr">
        <is>
          <t>Continuous Subarrays</t>
        </is>
      </c>
      <c r="C562">
        <f>HYPERLINK("https://leetcode.com/problems/continuous-subarrays/","continuous-subarrays")</f>
        <v/>
      </c>
      <c r="D562" t="inlineStr">
        <is>
          <t>-</t>
        </is>
      </c>
      <c r="E562" t="inlineStr">
        <is>
          <t>Medium</t>
        </is>
      </c>
      <c r="F562" t="n">
        <v>12</v>
      </c>
      <c r="G562" t="inlineStr">
        <is>
          <t>Queue</t>
        </is>
      </c>
      <c r="H562" t="inlineStr">
        <is>
          <t>Doubly-Ended Queue</t>
        </is>
      </c>
      <c r="I562" t="inlineStr">
        <is>
          <t>Leetcode</t>
        </is>
      </c>
      <c r="J562" t="inlineStr">
        <is>
          <t>Problem</t>
        </is>
      </c>
    </row>
    <row r="563">
      <c r="A563" t="n">
        <v>485</v>
      </c>
      <c r="B563" t="inlineStr">
        <is>
          <t>Max Value of Equation</t>
        </is>
      </c>
      <c r="C563">
        <f>HYPERLINK("https://leetcode.com/problems/max-value-of-equation/description/","max-value-of-equation")</f>
        <v/>
      </c>
      <c r="D563" t="inlineStr">
        <is>
          <t>-</t>
        </is>
      </c>
      <c r="E563" t="inlineStr">
        <is>
          <t>Hard</t>
        </is>
      </c>
      <c r="F563" t="n">
        <v>12</v>
      </c>
      <c r="G563" t="inlineStr">
        <is>
          <t>Queue</t>
        </is>
      </c>
      <c r="H563" t="inlineStr">
        <is>
          <t>Doubly-Ended Queue</t>
        </is>
      </c>
      <c r="I563" t="inlineStr">
        <is>
          <t>Leetcode</t>
        </is>
      </c>
      <c r="J563" t="inlineStr">
        <is>
          <t>Problem</t>
        </is>
      </c>
    </row>
    <row r="564">
      <c r="A564" t="n">
        <v>694</v>
      </c>
      <c r="B564" t="inlineStr">
        <is>
          <t>Sliding Window Maximum</t>
        </is>
      </c>
      <c r="C564">
        <f>HYPERLINK("https://leetcode.com/problems/sliding-window-maximum/","sliding-window-maximum")</f>
        <v/>
      </c>
      <c r="D564" t="inlineStr">
        <is>
          <t>-</t>
        </is>
      </c>
      <c r="E564" t="inlineStr">
        <is>
          <t>Hard</t>
        </is>
      </c>
      <c r="F564" t="n">
        <v>12</v>
      </c>
      <c r="G564" t="inlineStr">
        <is>
          <t>Queue</t>
        </is>
      </c>
      <c r="H564" t="inlineStr">
        <is>
          <t>Doubly-Ended Queue</t>
        </is>
      </c>
      <c r="I564" t="inlineStr">
        <is>
          <t>Leetcode</t>
        </is>
      </c>
      <c r="J564" t="inlineStr">
        <is>
          <t>Problem</t>
        </is>
      </c>
    </row>
    <row r="565">
      <c r="A565" t="n">
        <v>687</v>
      </c>
      <c r="B565" t="inlineStr">
        <is>
          <t>Shortest Subarray with Sum at Least K</t>
        </is>
      </c>
      <c r="C565">
        <f>HYPERLINK("https://leetcode.com/problems/shortest-subarray-with-sum-at-least-k/","shortest-subarray-with-sum-at-least-k")</f>
        <v/>
      </c>
      <c r="D565" t="inlineStr">
        <is>
          <t>-</t>
        </is>
      </c>
      <c r="E565" t="inlineStr">
        <is>
          <t>Hard</t>
        </is>
      </c>
      <c r="F565" t="n">
        <v>12</v>
      </c>
      <c r="G565" t="inlineStr">
        <is>
          <t>Queue</t>
        </is>
      </c>
      <c r="H565" t="inlineStr">
        <is>
          <t>Doubly-Ended Queue</t>
        </is>
      </c>
      <c r="I565" t="inlineStr">
        <is>
          <t>Leetcode</t>
        </is>
      </c>
      <c r="J565" t="inlineStr">
        <is>
          <t>Problem</t>
        </is>
      </c>
    </row>
    <row r="566">
      <c r="A566" t="n">
        <v>86</v>
      </c>
      <c r="B566" t="inlineStr">
        <is>
          <t>Constrained Subsequence Sum</t>
        </is>
      </c>
      <c r="C566">
        <f>HYPERLINK("https://leetcode.com/problems/constrained-subsequence-sum/","constrained-subsequence-sum")</f>
        <v/>
      </c>
      <c r="D566" t="inlineStr">
        <is>
          <t>-</t>
        </is>
      </c>
      <c r="E566" t="inlineStr">
        <is>
          <t>Hard</t>
        </is>
      </c>
      <c r="F566" t="n">
        <v>12</v>
      </c>
      <c r="G566" t="inlineStr">
        <is>
          <t>Queue</t>
        </is>
      </c>
      <c r="H566" t="inlineStr">
        <is>
          <t>Doubly-Ended Queue</t>
        </is>
      </c>
      <c r="I566" t="inlineStr">
        <is>
          <t>Leetcode</t>
        </is>
      </c>
      <c r="J566" t="inlineStr">
        <is>
          <t>Problem</t>
        </is>
      </c>
    </row>
    <row r="567">
      <c r="A567" t="n">
        <v>423</v>
      </c>
      <c r="B567" t="inlineStr">
        <is>
          <t>Binary Search</t>
        </is>
      </c>
      <c r="C567">
        <f>HYPERLINK("https://leetcode.com/problems/binary-search/description/","binary-search")</f>
        <v/>
      </c>
      <c r="D567" t="inlineStr">
        <is>
          <t>-</t>
        </is>
      </c>
      <c r="E567" t="inlineStr">
        <is>
          <t>Easy</t>
        </is>
      </c>
      <c r="F567" t="n">
        <v>13</v>
      </c>
      <c r="G567" t="inlineStr">
        <is>
          <t>Binary Search</t>
        </is>
      </c>
      <c r="H567" t="inlineStr">
        <is>
          <t>Introductory Problems</t>
        </is>
      </c>
      <c r="I567" t="inlineStr">
        <is>
          <t>Leetcode</t>
        </is>
      </c>
      <c r="J567" t="inlineStr">
        <is>
          <t>Problem</t>
        </is>
      </c>
    </row>
    <row r="568">
      <c r="A568" t="n">
        <v>1058</v>
      </c>
      <c r="B568" t="inlineStr">
        <is>
          <t>Guess Number Higher or Lower</t>
        </is>
      </c>
      <c r="C568">
        <f>HYPERLINK("https://leetcode.com/problems/guess-number-higher-or-lower/","guess-number-higher-or-lower")</f>
        <v/>
      </c>
      <c r="D568" t="inlineStr">
        <is>
          <t>-</t>
        </is>
      </c>
      <c r="E568" t="inlineStr">
        <is>
          <t>Easy</t>
        </is>
      </c>
      <c r="F568" t="n">
        <v>13</v>
      </c>
      <c r="G568" t="inlineStr">
        <is>
          <t>Binary Search</t>
        </is>
      </c>
      <c r="H568" t="inlineStr">
        <is>
          <t>Introductory Problems</t>
        </is>
      </c>
      <c r="I568" t="inlineStr">
        <is>
          <t>Leetcode</t>
        </is>
      </c>
      <c r="J568" t="inlineStr">
        <is>
          <t>Problem</t>
        </is>
      </c>
    </row>
    <row r="569">
      <c r="A569" t="n">
        <v>210</v>
      </c>
      <c r="B569" t="inlineStr">
        <is>
          <t>H-Index II</t>
        </is>
      </c>
      <c r="C569">
        <f>HYPERLINK("https://leetcode.com/problems/h-index-ii/","h-index-ii")</f>
        <v/>
      </c>
      <c r="D569" t="inlineStr">
        <is>
          <t>-</t>
        </is>
      </c>
      <c r="E569" t="inlineStr">
        <is>
          <t>Medium</t>
        </is>
      </c>
      <c r="F569" t="n">
        <v>13</v>
      </c>
      <c r="G569" t="inlineStr">
        <is>
          <t>Binary Search</t>
        </is>
      </c>
      <c r="H569" t="inlineStr">
        <is>
          <t>Introductory Problems</t>
        </is>
      </c>
      <c r="I569" t="inlineStr">
        <is>
          <t>Leetcode</t>
        </is>
      </c>
      <c r="J569" t="inlineStr">
        <is>
          <t>Problem</t>
        </is>
      </c>
    </row>
    <row r="570">
      <c r="A570" t="n">
        <v>167</v>
      </c>
      <c r="B570" t="inlineStr">
        <is>
          <t>Find First and Last Position of Element in Sorted Array</t>
        </is>
      </c>
      <c r="C570">
        <f>HYPERLINK("https://leetcode.com/problems/find-first-and-last-position-of-element-in-sorted-array/","find-first-and-last-position-of-element-in-sorted-array")</f>
        <v/>
      </c>
      <c r="D570" t="inlineStr">
        <is>
          <t>-</t>
        </is>
      </c>
      <c r="E570" t="inlineStr">
        <is>
          <t>Medium</t>
        </is>
      </c>
      <c r="F570" t="n">
        <v>13</v>
      </c>
      <c r="G570" t="inlineStr">
        <is>
          <t>Binary Search</t>
        </is>
      </c>
      <c r="H570" t="inlineStr">
        <is>
          <t>Upper Bound and Lower Bound</t>
        </is>
      </c>
      <c r="I570" t="inlineStr">
        <is>
          <t>Leetcode</t>
        </is>
      </c>
      <c r="J570" t="inlineStr">
        <is>
          <t>Problem</t>
        </is>
      </c>
    </row>
    <row r="571">
      <c r="A571" t="n">
        <v>705</v>
      </c>
      <c r="B571" t="inlineStr">
        <is>
          <t>Special Array With X Elements Greater Than or Equal X</t>
        </is>
      </c>
      <c r="C571">
        <f>HYPERLINK("https://leetcode.com/problems/special-array-with-x-elements-greater-than-or-equal-x/","special-array-with-x-elements-greater-than-or-equal-x")</f>
        <v/>
      </c>
      <c r="D571" t="inlineStr">
        <is>
          <t>-</t>
        </is>
      </c>
      <c r="E571" t="inlineStr">
        <is>
          <t>Easy</t>
        </is>
      </c>
      <c r="F571" t="n">
        <v>13</v>
      </c>
      <c r="G571" t="inlineStr">
        <is>
          <t>Binary Search</t>
        </is>
      </c>
      <c r="H571" t="inlineStr">
        <is>
          <t>Upper Bound and Lower Bound</t>
        </is>
      </c>
      <c r="I571" t="inlineStr">
        <is>
          <t>Leetcode</t>
        </is>
      </c>
      <c r="J571" t="inlineStr">
        <is>
          <t>Problem</t>
        </is>
      </c>
    </row>
    <row r="572">
      <c r="A572" t="n">
        <v>463</v>
      </c>
      <c r="B572" t="inlineStr">
        <is>
          <t>Find Smallest Letter Greater Than Target</t>
        </is>
      </c>
      <c r="C572">
        <f>HYPERLINK("https://leetcode.com/problems/find-smallest-letter-greater-than-target/","find-smallest-letter-greater-than-target")</f>
        <v/>
      </c>
      <c r="D572" t="inlineStr">
        <is>
          <t>-</t>
        </is>
      </c>
      <c r="E572" t="inlineStr">
        <is>
          <t>Easy</t>
        </is>
      </c>
      <c r="F572" t="n">
        <v>13</v>
      </c>
      <c r="G572" t="inlineStr">
        <is>
          <t>Binary Search</t>
        </is>
      </c>
      <c r="H572" t="inlineStr">
        <is>
          <t>Upper Bound and Lower Bound</t>
        </is>
      </c>
      <c r="I572" t="inlineStr">
        <is>
          <t>Leetcode</t>
        </is>
      </c>
      <c r="J572" t="inlineStr">
        <is>
          <t>Problem</t>
        </is>
      </c>
    </row>
    <row r="573">
      <c r="A573" t="n">
        <v>269</v>
      </c>
      <c r="B573" t="inlineStr">
        <is>
          <t>Longest Subsequence With Limited Sum</t>
        </is>
      </c>
      <c r="C573">
        <f>HYPERLINK("https://leetcode.com/problems/longest-subsequence-with-limited-sum/description/","longest-subsequence-with-limited-sum")</f>
        <v/>
      </c>
      <c r="D573" t="inlineStr">
        <is>
          <t>-</t>
        </is>
      </c>
      <c r="E573" t="inlineStr">
        <is>
          <t>Easy</t>
        </is>
      </c>
      <c r="F573" t="n">
        <v>13</v>
      </c>
      <c r="G573" t="inlineStr">
        <is>
          <t>Binary Search</t>
        </is>
      </c>
      <c r="H573" t="inlineStr">
        <is>
          <t>Upper Bound and Lower Bound</t>
        </is>
      </c>
      <c r="I573" t="inlineStr">
        <is>
          <t>Leetcode</t>
        </is>
      </c>
      <c r="J573" t="inlineStr">
        <is>
          <t>Problem</t>
        </is>
      </c>
    </row>
    <row r="574">
      <c r="A574" t="n">
        <v>1057</v>
      </c>
      <c r="B574" t="inlineStr">
        <is>
          <t>First Bad Version</t>
        </is>
      </c>
      <c r="C574">
        <f>HYPERLINK("https://leetcode.com/problems/first-bad-version/","first-bad-version")</f>
        <v/>
      </c>
      <c r="D574" t="inlineStr">
        <is>
          <t>-</t>
        </is>
      </c>
      <c r="E574" t="inlineStr">
        <is>
          <t>Easy</t>
        </is>
      </c>
      <c r="F574" t="n">
        <v>13</v>
      </c>
      <c r="G574" t="inlineStr">
        <is>
          <t>Binary Search</t>
        </is>
      </c>
      <c r="H574" t="inlineStr">
        <is>
          <t>Upper Bound and Lower Bound</t>
        </is>
      </c>
      <c r="I574" t="inlineStr">
        <is>
          <t>Leetcode</t>
        </is>
      </c>
      <c r="J574" t="inlineStr">
        <is>
          <t>Problem</t>
        </is>
      </c>
    </row>
    <row r="575">
      <c r="A575" t="n">
        <v>39</v>
      </c>
      <c r="B575" t="inlineStr">
        <is>
          <t>Arranging Coins</t>
        </is>
      </c>
      <c r="C575">
        <f>HYPERLINK("https://leetcode.com/problems/arranging-coins/description/","arranging-coins")</f>
        <v/>
      </c>
      <c r="D575" t="inlineStr">
        <is>
          <t>-</t>
        </is>
      </c>
      <c r="E575" t="inlineStr">
        <is>
          <t>Easy</t>
        </is>
      </c>
      <c r="F575" t="n">
        <v>13</v>
      </c>
      <c r="G575" t="inlineStr">
        <is>
          <t>Binary Search</t>
        </is>
      </c>
      <c r="H575" t="inlineStr">
        <is>
          <t>Upper Bound and Lower Bound</t>
        </is>
      </c>
      <c r="I575" t="inlineStr">
        <is>
          <t>Leetcode</t>
        </is>
      </c>
      <c r="J575" t="inlineStr">
        <is>
          <t>Problem</t>
        </is>
      </c>
    </row>
    <row r="576">
      <c r="A576" t="n">
        <v>183</v>
      </c>
      <c r="B576" t="inlineStr">
        <is>
          <t>Find the Distance Value Between Two Arrays</t>
        </is>
      </c>
      <c r="C576">
        <f>HYPERLINK("https://leetcode.com/problems/find-the-distance-value-between-two-arrays/description/","find-the-distance-value-between-two-arrays")</f>
        <v/>
      </c>
      <c r="D576" t="inlineStr">
        <is>
          <t>-</t>
        </is>
      </c>
      <c r="E576" t="inlineStr">
        <is>
          <t>Easy</t>
        </is>
      </c>
      <c r="F576" t="n">
        <v>13</v>
      </c>
      <c r="G576" t="inlineStr">
        <is>
          <t>Binary Search</t>
        </is>
      </c>
      <c r="H576" t="inlineStr">
        <is>
          <t>Upper Bound and Lower Bound</t>
        </is>
      </c>
      <c r="I576" t="inlineStr">
        <is>
          <t>Leetcode</t>
        </is>
      </c>
      <c r="J576" t="inlineStr">
        <is>
          <t>Problem</t>
        </is>
      </c>
    </row>
    <row r="577">
      <c r="A577" t="n">
        <v>673</v>
      </c>
      <c r="B577" t="inlineStr">
        <is>
          <t>Search Insert Position</t>
        </is>
      </c>
      <c r="C577">
        <f>HYPERLINK("https://leetcode.com/problems/search-insert-position/","search-insert-position")</f>
        <v/>
      </c>
      <c r="D577" t="inlineStr">
        <is>
          <t>-</t>
        </is>
      </c>
      <c r="E577" t="inlineStr">
        <is>
          <t>Easy</t>
        </is>
      </c>
      <c r="F577" t="n">
        <v>13</v>
      </c>
      <c r="G577" t="inlineStr">
        <is>
          <t>Binary Search</t>
        </is>
      </c>
      <c r="H577" t="inlineStr">
        <is>
          <t>Upper Bound and Lower Bound</t>
        </is>
      </c>
      <c r="I577" t="inlineStr">
        <is>
          <t>Leetcode</t>
        </is>
      </c>
      <c r="J577" t="inlineStr">
        <is>
          <t>Problem</t>
        </is>
      </c>
    </row>
    <row r="578">
      <c r="A578" t="n">
        <v>180</v>
      </c>
      <c r="B578" t="inlineStr">
        <is>
          <t>Find Target Indices After Sorting Array</t>
        </is>
      </c>
      <c r="C578">
        <f>HYPERLINK("https://leetcode.com/problems/find-target-indices-after-sorting-array/description/","find-target-indices-after-sorting-array")</f>
        <v/>
      </c>
      <c r="D578" t="inlineStr">
        <is>
          <t>-</t>
        </is>
      </c>
      <c r="E578" t="inlineStr">
        <is>
          <t>Easy</t>
        </is>
      </c>
      <c r="F578" t="n">
        <v>13</v>
      </c>
      <c r="G578" t="inlineStr">
        <is>
          <t>Binary Search</t>
        </is>
      </c>
      <c r="H578" t="inlineStr">
        <is>
          <t>Upper Bound and Lower Bound</t>
        </is>
      </c>
      <c r="I578" t="inlineStr">
        <is>
          <t>Leetcode</t>
        </is>
      </c>
      <c r="J578" t="inlineStr">
        <is>
          <t>Problem</t>
        </is>
      </c>
    </row>
    <row r="579">
      <c r="A579" t="n">
        <v>177</v>
      </c>
      <c r="B579" t="inlineStr">
        <is>
          <t>Find Right Interval</t>
        </is>
      </c>
      <c r="C579">
        <f>HYPERLINK("https://leetcode.com/problems/find-right-interval/description/","find-right-interval")</f>
        <v/>
      </c>
      <c r="D579" t="inlineStr">
        <is>
          <t>-</t>
        </is>
      </c>
      <c r="E579" t="inlineStr">
        <is>
          <t>Medium</t>
        </is>
      </c>
      <c r="F579" t="n">
        <v>13</v>
      </c>
      <c r="G579" t="inlineStr">
        <is>
          <t>Binary Search</t>
        </is>
      </c>
      <c r="H579" t="inlineStr">
        <is>
          <t>Upper Bound and Lower Bound</t>
        </is>
      </c>
      <c r="I579" t="inlineStr">
        <is>
          <t>Leetcode</t>
        </is>
      </c>
      <c r="J579" t="inlineStr">
        <is>
          <t>Problem</t>
        </is>
      </c>
    </row>
    <row r="580">
      <c r="A580" t="n">
        <v>803</v>
      </c>
      <c r="B580" t="inlineStr">
        <is>
          <t>Online Election</t>
        </is>
      </c>
      <c r="C580">
        <f>HYPERLINK("https://leetcode.com/problems/online-election/","online-election")</f>
        <v/>
      </c>
      <c r="D580" t="inlineStr">
        <is>
          <t>-</t>
        </is>
      </c>
      <c r="E580" t="inlineStr">
        <is>
          <t>Medium</t>
        </is>
      </c>
      <c r="F580" t="n">
        <v>13</v>
      </c>
      <c r="G580" t="inlineStr">
        <is>
          <t>Binary Search</t>
        </is>
      </c>
      <c r="H580" t="inlineStr">
        <is>
          <t>Upper Bound and Lower Bound</t>
        </is>
      </c>
      <c r="I580" t="inlineStr">
        <is>
          <t>Leetcode</t>
        </is>
      </c>
      <c r="J580" t="inlineStr">
        <is>
          <t>Problem</t>
        </is>
      </c>
    </row>
    <row r="581">
      <c r="A581" t="n">
        <v>535</v>
      </c>
      <c r="B581" t="inlineStr">
        <is>
          <t>Most Beautiful Item for Each Query</t>
        </is>
      </c>
      <c r="C581">
        <f>HYPERLINK("https://leetcode.com/problems/most-beautiful-item-for-each-query/description/","most-beautiful-item-for-each-query")</f>
        <v/>
      </c>
      <c r="D581" t="inlineStr">
        <is>
          <t>-</t>
        </is>
      </c>
      <c r="E581" t="inlineStr">
        <is>
          <t>Medium</t>
        </is>
      </c>
      <c r="F581" t="n">
        <v>13</v>
      </c>
      <c r="G581" t="inlineStr">
        <is>
          <t>Binary Search</t>
        </is>
      </c>
      <c r="H581" t="inlineStr">
        <is>
          <t>Upper Bound and Lower Bound</t>
        </is>
      </c>
      <c r="I581" t="inlineStr">
        <is>
          <t>Leetcode</t>
        </is>
      </c>
      <c r="J581" t="inlineStr">
        <is>
          <t>Problem</t>
        </is>
      </c>
    </row>
    <row r="582">
      <c r="A582" t="n">
        <v>746</v>
      </c>
      <c r="B582" t="inlineStr">
        <is>
          <t>Time Based Key-Value Store</t>
        </is>
      </c>
      <c r="C582">
        <f>HYPERLINK("https://leetcode.com/problems/time-based-key-value-store/","time-based-key-value-store")</f>
        <v/>
      </c>
      <c r="D582" t="inlineStr">
        <is>
          <t>-</t>
        </is>
      </c>
      <c r="E582" t="inlineStr">
        <is>
          <t>Medium</t>
        </is>
      </c>
      <c r="F582" t="n">
        <v>13</v>
      </c>
      <c r="G582" t="inlineStr">
        <is>
          <t>Binary Search</t>
        </is>
      </c>
      <c r="H582" t="inlineStr">
        <is>
          <t>Upper Bound and Lower Bound</t>
        </is>
      </c>
      <c r="I582" t="inlineStr">
        <is>
          <t>Leetcode</t>
        </is>
      </c>
      <c r="J582" t="inlineStr">
        <is>
          <t>Problem</t>
        </is>
      </c>
    </row>
    <row r="583">
      <c r="A583" t="n">
        <v>855</v>
      </c>
      <c r="B583" t="inlineStr">
        <is>
          <t>Random Pick with Weight</t>
        </is>
      </c>
      <c r="C583">
        <f>HYPERLINK("https://leetcode.com/problems/random-pick-with-weight/","random-pick-with-weight")</f>
        <v/>
      </c>
      <c r="D583" t="inlineStr">
        <is>
          <t>-</t>
        </is>
      </c>
      <c r="E583" t="inlineStr">
        <is>
          <t>Medium</t>
        </is>
      </c>
      <c r="F583" t="n">
        <v>13</v>
      </c>
      <c r="G583" t="inlineStr">
        <is>
          <t>Binary Search</t>
        </is>
      </c>
      <c r="H583" t="inlineStr">
        <is>
          <t>Upper Bound and Lower Bound</t>
        </is>
      </c>
      <c r="I583" t="inlineStr">
        <is>
          <t>Leetcode</t>
        </is>
      </c>
      <c r="J583" t="inlineStr">
        <is>
          <t>Problem</t>
        </is>
      </c>
    </row>
    <row r="584">
      <c r="A584" t="n">
        <v>601</v>
      </c>
      <c r="B584" t="inlineStr">
        <is>
          <t>Plates Between Candles</t>
        </is>
      </c>
      <c r="C584">
        <f>HYPERLINK("https://leetcode.com/problems/plates-between-candles/","plates-between-candles")</f>
        <v/>
      </c>
      <c r="D584" t="inlineStr">
        <is>
          <t>-</t>
        </is>
      </c>
      <c r="E584" t="inlineStr">
        <is>
          <t>Medium</t>
        </is>
      </c>
      <c r="F584" t="n">
        <v>13</v>
      </c>
      <c r="G584" t="inlineStr">
        <is>
          <t>Binary Search</t>
        </is>
      </c>
      <c r="H584" t="inlineStr">
        <is>
          <t>Upper Bound and Lower Bound</t>
        </is>
      </c>
      <c r="I584" t="inlineStr">
        <is>
          <t>Leetcode</t>
        </is>
      </c>
      <c r="J584" t="inlineStr">
        <is>
          <t>Problem</t>
        </is>
      </c>
    </row>
    <row r="585">
      <c r="A585" t="n">
        <v>728</v>
      </c>
      <c r="B585" t="inlineStr">
        <is>
          <t>Successful Pairs of Spells and Potions</t>
        </is>
      </c>
      <c r="C585">
        <f>HYPERLINK("https://leetcode.com/problems/successful-pairs-of-spells-and-potions/","successful-pairs-of-spells-and-potions")</f>
        <v/>
      </c>
      <c r="D585" t="inlineStr">
        <is>
          <t>-</t>
        </is>
      </c>
      <c r="E585" t="inlineStr">
        <is>
          <t>Medium</t>
        </is>
      </c>
      <c r="F585" t="n">
        <v>13</v>
      </c>
      <c r="G585" t="inlineStr">
        <is>
          <t>Binary Search</t>
        </is>
      </c>
      <c r="H585" t="inlineStr">
        <is>
          <t>Upper Bound and Lower Bound</t>
        </is>
      </c>
      <c r="I585" t="inlineStr">
        <is>
          <t>Leetcode</t>
        </is>
      </c>
      <c r="J585" t="inlineStr">
        <is>
          <t>Problem</t>
        </is>
      </c>
    </row>
    <row r="586">
      <c r="A586" t="n">
        <v>618</v>
      </c>
      <c r="B586" t="inlineStr">
        <is>
          <t>Range Frequency Queries</t>
        </is>
      </c>
      <c r="C586">
        <f>HYPERLINK("https://leetcode.com/problems/range-frequency-queries/","range-frequency-queries")</f>
        <v/>
      </c>
      <c r="D586" t="inlineStr">
        <is>
          <t>-</t>
        </is>
      </c>
      <c r="E586" t="inlineStr">
        <is>
          <t>Medium</t>
        </is>
      </c>
      <c r="F586" t="n">
        <v>13</v>
      </c>
      <c r="G586" t="inlineStr">
        <is>
          <t>Binary Search</t>
        </is>
      </c>
      <c r="H586" t="inlineStr">
        <is>
          <t>Upper Bound and Lower Bound</t>
        </is>
      </c>
      <c r="I586" t="inlineStr">
        <is>
          <t>Leetcode</t>
        </is>
      </c>
      <c r="J586" t="inlineStr">
        <is>
          <t>Problem</t>
        </is>
      </c>
    </row>
    <row r="587">
      <c r="A587" t="n">
        <v>825</v>
      </c>
      <c r="B587" t="inlineStr">
        <is>
          <t>Minimum Operations to Make All Array Elements Equal</t>
        </is>
      </c>
      <c r="C587">
        <f>HYPERLINK("https://leetcode.com/problems/minimum-operations-to-make-all-array-elements-equal/","minimum-operations-to-make-all-array-elements-equal")</f>
        <v/>
      </c>
      <c r="D587" t="inlineStr">
        <is>
          <t>-</t>
        </is>
      </c>
      <c r="E587" t="inlineStr">
        <is>
          <t>Medium</t>
        </is>
      </c>
      <c r="F587" t="n">
        <v>13</v>
      </c>
      <c r="G587" t="inlineStr">
        <is>
          <t>Binary Search</t>
        </is>
      </c>
      <c r="H587" t="inlineStr">
        <is>
          <t>Upper Bound and Lower Bound</t>
        </is>
      </c>
      <c r="I587" t="inlineStr">
        <is>
          <t>Leetcode</t>
        </is>
      </c>
      <c r="J587" t="inlineStr">
        <is>
          <t>Problem</t>
        </is>
      </c>
    </row>
    <row r="588">
      <c r="A588" t="n">
        <v>1056</v>
      </c>
      <c r="B588" t="inlineStr">
        <is>
          <t>Count Number of Rectangles Containing Each Point</t>
        </is>
      </c>
      <c r="C588">
        <f>HYPERLINK("https://leetcode.com/problems/count-number-of-rectangles-containing-each-point/","count-number-of-rectangles-containing-each-point")</f>
        <v/>
      </c>
      <c r="D588" t="inlineStr">
        <is>
          <t>-</t>
        </is>
      </c>
      <c r="E588" t="inlineStr">
        <is>
          <t>Medium</t>
        </is>
      </c>
      <c r="F588" t="n">
        <v>13</v>
      </c>
      <c r="G588" t="inlineStr">
        <is>
          <t>Binary Search</t>
        </is>
      </c>
      <c r="H588" t="inlineStr">
        <is>
          <t>Upper Bound and Lower Bound</t>
        </is>
      </c>
      <c r="I588" t="inlineStr">
        <is>
          <t>Leetcode</t>
        </is>
      </c>
      <c r="J588" t="inlineStr">
        <is>
          <t>Problem</t>
        </is>
      </c>
    </row>
    <row r="589">
      <c r="A589" t="n">
        <v>120</v>
      </c>
      <c r="B589" t="inlineStr">
        <is>
          <t>Count the Number of Fair Pairs</t>
        </is>
      </c>
      <c r="C589">
        <f>HYPERLINK("https://leetcode.com/problems/count-the-number-of-fair-pairs/","count-the-number-of-fair-pairs")</f>
        <v/>
      </c>
      <c r="D589" t="inlineStr">
        <is>
          <t>-</t>
        </is>
      </c>
      <c r="E589" t="inlineStr">
        <is>
          <t>Medium</t>
        </is>
      </c>
      <c r="F589" t="n">
        <v>13</v>
      </c>
      <c r="G589" t="inlineStr">
        <is>
          <t>Binary Search</t>
        </is>
      </c>
      <c r="H589" t="inlineStr">
        <is>
          <t>Upper Bound and Lower Bound</t>
        </is>
      </c>
      <c r="I589" t="inlineStr">
        <is>
          <t>Leetcode</t>
        </is>
      </c>
      <c r="J589" t="inlineStr">
        <is>
          <t>Problem</t>
        </is>
      </c>
    </row>
    <row r="590">
      <c r="A590" t="n">
        <v>368</v>
      </c>
      <c r="B590" t="inlineStr">
        <is>
          <t>Minimum Absolute Sum Difference</t>
        </is>
      </c>
      <c r="C590">
        <f>HYPERLINK("https://leetcode.com/problems/minimum-absolute-sum-difference/","minimum-absolute-sum-difference")</f>
        <v/>
      </c>
      <c r="D590" t="inlineStr">
        <is>
          <t>-</t>
        </is>
      </c>
      <c r="E590" t="inlineStr">
        <is>
          <t>Medium</t>
        </is>
      </c>
      <c r="F590" t="n">
        <v>13</v>
      </c>
      <c r="G590" t="inlineStr">
        <is>
          <t>Binary Search</t>
        </is>
      </c>
      <c r="H590" t="inlineStr">
        <is>
          <t>Upper Bound and Lower Bound</t>
        </is>
      </c>
      <c r="I590" t="inlineStr">
        <is>
          <t>Leetcode</t>
        </is>
      </c>
      <c r="J590" t="inlineStr">
        <is>
          <t>Problem</t>
        </is>
      </c>
    </row>
    <row r="591">
      <c r="A591" t="n">
        <v>188</v>
      </c>
      <c r="B591" t="inlineStr">
        <is>
          <t>Find the Longest Valid Obstacle Course at Each Position</t>
        </is>
      </c>
      <c r="C591">
        <f>HYPERLINK("https://leetcode.com/problems/find-the-longest-valid-obstacle-course-at-each-position/","find-the-longest-valid-obstacle-course-at-each-position")</f>
        <v/>
      </c>
      <c r="D591" t="inlineStr">
        <is>
          <t>-</t>
        </is>
      </c>
      <c r="E591" t="inlineStr">
        <is>
          <t>Hard</t>
        </is>
      </c>
      <c r="F591" t="n">
        <v>13</v>
      </c>
      <c r="G591" t="inlineStr">
        <is>
          <t>Binary Search</t>
        </is>
      </c>
      <c r="H591" t="inlineStr">
        <is>
          <t>Upper Bound and Lower Bound</t>
        </is>
      </c>
      <c r="I591" t="inlineStr">
        <is>
          <t>Leetcode</t>
        </is>
      </c>
      <c r="J591" t="inlineStr">
        <is>
          <t>Problem</t>
        </is>
      </c>
    </row>
    <row r="592">
      <c r="A592" t="n">
        <v>192</v>
      </c>
      <c r="B592" t="inlineStr">
        <is>
          <t>Find the Number of Subarrays Where Boundary Elements Are Maximum</t>
        </is>
      </c>
      <c r="C592">
        <f>HYPERLINK("https://leetcode.com/problems/find-the-number-of-subarrays-where-boundary-elements-are-maximum/","find-the-number-of-subarrays-where-boundary-elements-are-maximum")</f>
        <v/>
      </c>
      <c r="D592" t="inlineStr">
        <is>
          <t>-</t>
        </is>
      </c>
      <c r="E592" t="inlineStr">
        <is>
          <t>Hard</t>
        </is>
      </c>
      <c r="F592" t="n">
        <v>13</v>
      </c>
      <c r="G592" t="inlineStr">
        <is>
          <t>Binary Search</t>
        </is>
      </c>
      <c r="H592" t="inlineStr">
        <is>
          <t>Upper Bound and Lower Bound</t>
        </is>
      </c>
      <c r="I592" t="inlineStr">
        <is>
          <t>Leetcode</t>
        </is>
      </c>
      <c r="J592" t="inlineStr">
        <is>
          <t>Problem</t>
        </is>
      </c>
    </row>
    <row r="593">
      <c r="A593" t="n">
        <v>106</v>
      </c>
      <c r="B593" t="inlineStr">
        <is>
          <t>Count Negative Numbers in a Sorted Matrix</t>
        </is>
      </c>
      <c r="C593">
        <f>HYPERLINK("https://leetcode.com/problems/count-negative-numbers-in-a-sorted-matrix/","count-negative-numbers-in-a-sorted-matrix")</f>
        <v/>
      </c>
      <c r="D593" t="inlineStr">
        <is>
          <t>-</t>
        </is>
      </c>
      <c r="E593" t="inlineStr">
        <is>
          <t>Easy</t>
        </is>
      </c>
      <c r="F593" t="n">
        <v>13</v>
      </c>
      <c r="G593" t="inlineStr">
        <is>
          <t>Binary Search</t>
        </is>
      </c>
      <c r="H593" t="inlineStr">
        <is>
          <t>Search on Matrix</t>
        </is>
      </c>
      <c r="I593" t="inlineStr">
        <is>
          <t>Leetcode</t>
        </is>
      </c>
      <c r="J593" t="inlineStr">
        <is>
          <t>Problem</t>
        </is>
      </c>
    </row>
    <row r="594">
      <c r="A594" t="n">
        <v>669</v>
      </c>
      <c r="B594" t="inlineStr">
        <is>
          <t>Search a 2D Matrix</t>
        </is>
      </c>
      <c r="C594">
        <f>HYPERLINK("https://leetcode.com/problems/search-a-2d-matrix/","search-a-2d-matrix")</f>
        <v/>
      </c>
      <c r="D594" t="inlineStr">
        <is>
          <t>-</t>
        </is>
      </c>
      <c r="E594" t="inlineStr">
        <is>
          <t>Medium</t>
        </is>
      </c>
      <c r="F594" t="n">
        <v>13</v>
      </c>
      <c r="G594" t="inlineStr">
        <is>
          <t>Binary Search</t>
        </is>
      </c>
      <c r="H594" t="inlineStr">
        <is>
          <t>Search on Matrix</t>
        </is>
      </c>
      <c r="I594" t="inlineStr">
        <is>
          <t>Leetcode</t>
        </is>
      </c>
      <c r="J594" t="inlineStr">
        <is>
          <t>Problem</t>
        </is>
      </c>
    </row>
    <row r="595">
      <c r="A595" t="n">
        <v>670</v>
      </c>
      <c r="B595" t="inlineStr">
        <is>
          <t>Search a 2D Matrix II</t>
        </is>
      </c>
      <c r="C595">
        <f>HYPERLINK("https://leetcode.com/problems/search-a-2d-matrix-ii/","search-a-2d-matrix-ii")</f>
        <v/>
      </c>
      <c r="D595" t="inlineStr">
        <is>
          <t>-</t>
        </is>
      </c>
      <c r="E595" t="inlineStr">
        <is>
          <t>Medium</t>
        </is>
      </c>
      <c r="F595" t="n">
        <v>13</v>
      </c>
      <c r="G595" t="inlineStr">
        <is>
          <t>Binary Search</t>
        </is>
      </c>
      <c r="H595" t="inlineStr">
        <is>
          <t>Search on Matrix</t>
        </is>
      </c>
      <c r="I595" t="inlineStr">
        <is>
          <t>Leetcode</t>
        </is>
      </c>
      <c r="J595" t="inlineStr">
        <is>
          <t>Problem</t>
        </is>
      </c>
    </row>
    <row r="596">
      <c r="A596" t="n">
        <v>1496</v>
      </c>
      <c r="B596" t="inlineStr">
        <is>
          <t>Median in a Row-wise Sorted Matrix</t>
        </is>
      </c>
      <c r="C596">
        <f>HYPERLINK("https://www.geeksforgeeks.org/problems/median-in-a-row-wise-sorted-matrix1527/1","Solve Problem")</f>
        <v/>
      </c>
      <c r="D596" t="inlineStr">
        <is>
          <t>-</t>
        </is>
      </c>
      <c r="E596" t="inlineStr">
        <is>
          <t>Hard</t>
        </is>
      </c>
      <c r="F596" t="n">
        <v>13</v>
      </c>
      <c r="G596" t="inlineStr">
        <is>
          <t>Binary Search</t>
        </is>
      </c>
      <c r="H596" t="inlineStr">
        <is>
          <t>Search on Matrix</t>
        </is>
      </c>
      <c r="I596" t="inlineStr">
        <is>
          <t>Leetcode</t>
        </is>
      </c>
      <c r="J596" t="inlineStr">
        <is>
          <t>Problem</t>
        </is>
      </c>
    </row>
    <row r="597">
      <c r="A597" t="n">
        <v>533</v>
      </c>
      <c r="B597" t="inlineStr">
        <is>
          <t>Missing Number</t>
        </is>
      </c>
      <c r="C597">
        <f>HYPERLINK("https://leetcode.com/problems/missing-number/description/","missing-number")</f>
        <v/>
      </c>
      <c r="D597" t="inlineStr">
        <is>
          <t>-</t>
        </is>
      </c>
      <c r="E597" t="inlineStr">
        <is>
          <t>Easy</t>
        </is>
      </c>
      <c r="F597" t="n">
        <v>13</v>
      </c>
      <c r="G597" t="inlineStr">
        <is>
          <t>Binary Search</t>
        </is>
      </c>
      <c r="H597" t="inlineStr">
        <is>
          <t>Missing and Repeating Number</t>
        </is>
      </c>
      <c r="I597" t="inlineStr">
        <is>
          <t>Leetcode</t>
        </is>
      </c>
      <c r="J597" t="inlineStr">
        <is>
          <t>Problem</t>
        </is>
      </c>
    </row>
    <row r="598">
      <c r="A598" t="n">
        <v>230</v>
      </c>
      <c r="B598" t="inlineStr">
        <is>
          <t>Kth Missing Positive Number</t>
        </is>
      </c>
      <c r="C598">
        <f>HYPERLINK("https://leetcode.com/problems/kth-missing-positive-number/","kth-missing-positive-number")</f>
        <v/>
      </c>
      <c r="D598" t="inlineStr">
        <is>
          <t>-</t>
        </is>
      </c>
      <c r="E598" t="inlineStr">
        <is>
          <t>Easy</t>
        </is>
      </c>
      <c r="F598" t="n">
        <v>13</v>
      </c>
      <c r="G598" t="inlineStr">
        <is>
          <t>Binary Search</t>
        </is>
      </c>
      <c r="H598" t="inlineStr">
        <is>
          <t>Missing and Repeating Number</t>
        </is>
      </c>
      <c r="I598" t="inlineStr">
        <is>
          <t>Leetcode</t>
        </is>
      </c>
      <c r="J598" t="inlineStr">
        <is>
          <t>Problem</t>
        </is>
      </c>
    </row>
    <row r="599">
      <c r="A599" t="n">
        <v>690</v>
      </c>
      <c r="B599" t="inlineStr">
        <is>
          <t>Single Element in a Sorted Array</t>
        </is>
      </c>
      <c r="C599">
        <f>HYPERLINK("https://leetcode.com/problems/single-element-in-a-sorted-array/","single-element-in-a-sorted-array")</f>
        <v/>
      </c>
      <c r="D599" t="inlineStr">
        <is>
          <t>-</t>
        </is>
      </c>
      <c r="E599" t="inlineStr">
        <is>
          <t>Medium</t>
        </is>
      </c>
      <c r="F599" t="n">
        <v>13</v>
      </c>
      <c r="G599" t="inlineStr">
        <is>
          <t>Binary Search</t>
        </is>
      </c>
      <c r="H599" t="inlineStr">
        <is>
          <t>Missing and Repeating Number</t>
        </is>
      </c>
      <c r="I599" t="inlineStr">
        <is>
          <t>Leetcode</t>
        </is>
      </c>
      <c r="J599" t="inlineStr">
        <is>
          <t>Problem</t>
        </is>
      </c>
    </row>
    <row r="600">
      <c r="A600" t="n">
        <v>374</v>
      </c>
      <c r="B600" t="inlineStr">
        <is>
          <t>Minimum Common Value</t>
        </is>
      </c>
      <c r="C600">
        <f>HYPERLINK("https://leetcode.com/problems/minimum-common-value/description/","minimum-common-value")</f>
        <v/>
      </c>
      <c r="D600" t="inlineStr">
        <is>
          <t>-</t>
        </is>
      </c>
      <c r="E600" t="inlineStr">
        <is>
          <t>Easy</t>
        </is>
      </c>
      <c r="F600" t="n">
        <v>13</v>
      </c>
      <c r="G600" t="inlineStr">
        <is>
          <t>Binary Search</t>
        </is>
      </c>
      <c r="H600" t="inlineStr">
        <is>
          <t>Missing and Repeating Number</t>
        </is>
      </c>
      <c r="I600" t="inlineStr">
        <is>
          <t>Leetcode</t>
        </is>
      </c>
      <c r="J600" t="inlineStr">
        <is>
          <t>Problem</t>
        </is>
      </c>
    </row>
    <row r="601">
      <c r="A601" t="n">
        <v>184</v>
      </c>
      <c r="B601" t="inlineStr">
        <is>
          <t>Find the Duplicate Number</t>
        </is>
      </c>
      <c r="C601">
        <f>HYPERLINK("https://leetcode.com/problems/find-the-duplicate-number/","find-the-duplicate-number")</f>
        <v/>
      </c>
      <c r="D601" t="inlineStr">
        <is>
          <t>-</t>
        </is>
      </c>
      <c r="E601" t="inlineStr">
        <is>
          <t>Medium</t>
        </is>
      </c>
      <c r="F601" t="n">
        <v>13</v>
      </c>
      <c r="G601" t="inlineStr">
        <is>
          <t>Binary Search</t>
        </is>
      </c>
      <c r="H601" t="inlineStr">
        <is>
          <t>Missing and Repeating Number</t>
        </is>
      </c>
      <c r="I601" t="inlineStr">
        <is>
          <t>Leetcode</t>
        </is>
      </c>
      <c r="J601" t="inlineStr">
        <is>
          <t>Problem</t>
        </is>
      </c>
    </row>
    <row r="602">
      <c r="A602" t="n">
        <v>175</v>
      </c>
      <c r="B602" t="inlineStr">
        <is>
          <t>Find Peak Element</t>
        </is>
      </c>
      <c r="C602">
        <f>HYPERLINK("https://leetcode.com/problems/find-peak-element/description/","find-peak-element")</f>
        <v/>
      </c>
      <c r="D602" t="inlineStr">
        <is>
          <t>-</t>
        </is>
      </c>
      <c r="E602" t="inlineStr">
        <is>
          <t>Medium</t>
        </is>
      </c>
      <c r="F602" t="n">
        <v>13</v>
      </c>
      <c r="G602" t="inlineStr">
        <is>
          <t>Binary Search</t>
        </is>
      </c>
      <c r="H602" t="inlineStr">
        <is>
          <t>Binary Search on Semi-Sorted Space</t>
        </is>
      </c>
      <c r="I602" t="inlineStr">
        <is>
          <t>Leetcode</t>
        </is>
      </c>
      <c r="J602" t="inlineStr">
        <is>
          <t>Problem</t>
        </is>
      </c>
    </row>
    <row r="603">
      <c r="A603" t="n">
        <v>156</v>
      </c>
      <c r="B603" t="inlineStr">
        <is>
          <t>Find a Peak Element II</t>
        </is>
      </c>
      <c r="C603">
        <f>HYPERLINK("https://leetcode.com/problems/find-a-peak-element-ii/description/","find-a-peak-element-ii")</f>
        <v/>
      </c>
      <c r="D603" t="inlineStr">
        <is>
          <t>-</t>
        </is>
      </c>
      <c r="E603" t="inlineStr">
        <is>
          <t>Medium</t>
        </is>
      </c>
      <c r="F603" t="n">
        <v>13</v>
      </c>
      <c r="G603" t="inlineStr">
        <is>
          <t>Binary Search</t>
        </is>
      </c>
      <c r="H603" t="inlineStr">
        <is>
          <t>Binary Search on Semi-Sorted Space</t>
        </is>
      </c>
      <c r="I603" t="inlineStr">
        <is>
          <t>Leetcode</t>
        </is>
      </c>
      <c r="J603" t="inlineStr">
        <is>
          <t>Problem</t>
        </is>
      </c>
    </row>
    <row r="604">
      <c r="A604" t="n">
        <v>171</v>
      </c>
      <c r="B604" t="inlineStr">
        <is>
          <t>Find Minimum in Rotated Sorted Array</t>
        </is>
      </c>
      <c r="C604">
        <f>HYPERLINK("https://leetcode.com/problems/find-minimum-in-rotated-sorted-array/description/","find-minimum-in-rotated-sorted-array")</f>
        <v/>
      </c>
      <c r="D604" t="inlineStr">
        <is>
          <t>-</t>
        </is>
      </c>
      <c r="E604" t="inlineStr">
        <is>
          <t>Medium</t>
        </is>
      </c>
      <c r="F604" t="n">
        <v>13</v>
      </c>
      <c r="G604" t="inlineStr">
        <is>
          <t>Binary Search</t>
        </is>
      </c>
      <c r="H604" t="inlineStr">
        <is>
          <t>Binary Search on Semi-Sorted Space</t>
        </is>
      </c>
      <c r="I604" t="inlineStr">
        <is>
          <t>Leetcode</t>
        </is>
      </c>
      <c r="J604" t="inlineStr">
        <is>
          <t>Problem</t>
        </is>
      </c>
    </row>
    <row r="605">
      <c r="A605" t="n">
        <v>593</v>
      </c>
      <c r="B605" t="inlineStr">
        <is>
          <t>Peak Index in a Mountain Array</t>
        </is>
      </c>
      <c r="C605">
        <f>HYPERLINK("https://leetcode.com/problems/peak-index-in-a-mountain-array/description/","peak-index-in-a-mountain-array")</f>
        <v/>
      </c>
      <c r="D605" t="inlineStr">
        <is>
          <t>-</t>
        </is>
      </c>
      <c r="E605" t="inlineStr">
        <is>
          <t>Medium</t>
        </is>
      </c>
      <c r="F605" t="n">
        <v>13</v>
      </c>
      <c r="G605" t="inlineStr">
        <is>
          <t>Binary Search</t>
        </is>
      </c>
      <c r="H605" t="inlineStr">
        <is>
          <t>Binary Search on Semi-Sorted Space</t>
        </is>
      </c>
      <c r="I605" t="inlineStr">
        <is>
          <t>Leetcode</t>
        </is>
      </c>
      <c r="J605" t="inlineStr">
        <is>
          <t>Problem</t>
        </is>
      </c>
    </row>
    <row r="606">
      <c r="A606" t="n">
        <v>671</v>
      </c>
      <c r="B606" t="inlineStr">
        <is>
          <t>Search in Rotated Sorted Array</t>
        </is>
      </c>
      <c r="C606">
        <f>HYPERLINK("https://leetcode.com/problems/search-in-rotated-sorted-array/description/","search-in-rotated-sorted-array")</f>
        <v/>
      </c>
      <c r="D606" t="inlineStr">
        <is>
          <t>-</t>
        </is>
      </c>
      <c r="E606" t="inlineStr">
        <is>
          <t>Medium</t>
        </is>
      </c>
      <c r="F606" t="n">
        <v>13</v>
      </c>
      <c r="G606" t="inlineStr">
        <is>
          <t>Binary Search</t>
        </is>
      </c>
      <c r="H606" t="inlineStr">
        <is>
          <t>Binary Search on Semi-Sorted Space</t>
        </is>
      </c>
      <c r="I606" t="inlineStr">
        <is>
          <t>Leetcode</t>
        </is>
      </c>
      <c r="J606" t="inlineStr">
        <is>
          <t>Problem</t>
        </is>
      </c>
    </row>
    <row r="607">
      <c r="A607" t="n">
        <v>672</v>
      </c>
      <c r="B607" t="inlineStr">
        <is>
          <t>Search in Rotated Sorted Array II</t>
        </is>
      </c>
      <c r="C607">
        <f>HYPERLINK("https://leetcode.com/problems/search-in-rotated-sorted-array-ii/description/","search-in-rotated-sorted-array-ii")</f>
        <v/>
      </c>
      <c r="D607" t="inlineStr">
        <is>
          <t>-</t>
        </is>
      </c>
      <c r="E607" t="inlineStr">
        <is>
          <t>Medium</t>
        </is>
      </c>
      <c r="F607" t="n">
        <v>13</v>
      </c>
      <c r="G607" t="inlineStr">
        <is>
          <t>Binary Search</t>
        </is>
      </c>
      <c r="H607" t="inlineStr">
        <is>
          <t>Binary Search on Semi-Sorted Space</t>
        </is>
      </c>
      <c r="I607" t="inlineStr">
        <is>
          <t>Leetcode</t>
        </is>
      </c>
      <c r="J607" t="inlineStr">
        <is>
          <t>Problem</t>
        </is>
      </c>
    </row>
    <row r="608">
      <c r="A608" t="n">
        <v>1518</v>
      </c>
      <c r="B608" t="inlineStr">
        <is>
          <t>Rotation</t>
        </is>
      </c>
      <c r="C608">
        <f>HYPERLINK("https://www.geeksforgeeks.org/problems/rotation4723/1","Solve Problem")</f>
        <v/>
      </c>
      <c r="D608" t="inlineStr">
        <is>
          <t>-</t>
        </is>
      </c>
      <c r="E608" t="inlineStr">
        <is>
          <t>Medium</t>
        </is>
      </c>
      <c r="F608" t="n">
        <v>13</v>
      </c>
      <c r="G608" t="inlineStr">
        <is>
          <t>Binary Search</t>
        </is>
      </c>
      <c r="H608" t="inlineStr">
        <is>
          <t>Binary Search on Semi-Sorted Space</t>
        </is>
      </c>
      <c r="I608" t="inlineStr">
        <is>
          <t>Geeksforgeeks</t>
        </is>
      </c>
      <c r="J608" t="inlineStr">
        <is>
          <t>Problem</t>
        </is>
      </c>
    </row>
    <row r="609">
      <c r="A609" t="n">
        <v>172</v>
      </c>
      <c r="B609" t="inlineStr">
        <is>
          <t>Find Minimum in Rotated Sorted Array II</t>
        </is>
      </c>
      <c r="C609">
        <f>HYPERLINK("https://leetcode.com/problems/find-minimum-in-rotated-sorted-array-ii/description/","find-minimum-in-rotated-sorted-array-ii")</f>
        <v/>
      </c>
      <c r="D609" t="inlineStr">
        <is>
          <t>-</t>
        </is>
      </c>
      <c r="E609" t="inlineStr">
        <is>
          <t>Hard</t>
        </is>
      </c>
      <c r="F609" t="n">
        <v>13</v>
      </c>
      <c r="G609" t="inlineStr">
        <is>
          <t>Binary Search</t>
        </is>
      </c>
      <c r="H609" t="inlineStr">
        <is>
          <t>Binary Search on Semi-Sorted Space</t>
        </is>
      </c>
      <c r="I609" t="inlineStr">
        <is>
          <t>Leetcode</t>
        </is>
      </c>
      <c r="J609" t="inlineStr">
        <is>
          <t>Problem</t>
        </is>
      </c>
    </row>
    <row r="610">
      <c r="A610" t="n">
        <v>460</v>
      </c>
      <c r="B610" t="inlineStr">
        <is>
          <t>Find in Mountain Array</t>
        </is>
      </c>
      <c r="C610">
        <f>HYPERLINK("https://leetcode.com/problems/find-in-mountain-array/description/","find-in-mountain-array")</f>
        <v/>
      </c>
      <c r="D610" t="inlineStr">
        <is>
          <t>-</t>
        </is>
      </c>
      <c r="E610" t="inlineStr">
        <is>
          <t>Hard</t>
        </is>
      </c>
      <c r="F610" t="n">
        <v>13</v>
      </c>
      <c r="G610" t="inlineStr">
        <is>
          <t>Binary Search</t>
        </is>
      </c>
      <c r="H610" t="inlineStr">
        <is>
          <t>Binary Search on Semi-Sorted Space</t>
        </is>
      </c>
      <c r="I610" t="inlineStr">
        <is>
          <t>Leetcode</t>
        </is>
      </c>
      <c r="J610" t="inlineStr">
        <is>
          <t>Problem</t>
        </is>
      </c>
    </row>
    <row r="611">
      <c r="A611" t="n">
        <v>711</v>
      </c>
      <c r="B611" t="inlineStr">
        <is>
          <t>Sqrt(x)</t>
        </is>
      </c>
      <c r="C611">
        <f>HYPERLINK("https://leetcode.com/problems/sqrtx/","sqrtx")</f>
        <v/>
      </c>
      <c r="D611" t="inlineStr">
        <is>
          <t>-</t>
        </is>
      </c>
      <c r="E611" t="inlineStr">
        <is>
          <t>Easy</t>
        </is>
      </c>
      <c r="F611" t="n">
        <v>13</v>
      </c>
      <c r="G611" t="inlineStr">
        <is>
          <t>Binary Search</t>
        </is>
      </c>
      <c r="H611" t="inlineStr">
        <is>
          <t>Binary Search On Answer</t>
        </is>
      </c>
      <c r="I611" t="inlineStr">
        <is>
          <t>Leetcode</t>
        </is>
      </c>
      <c r="J611" t="inlineStr">
        <is>
          <t>Problem</t>
        </is>
      </c>
    </row>
    <row r="612">
      <c r="A612" t="n">
        <v>69</v>
      </c>
      <c r="B612" t="inlineStr">
        <is>
          <t>Capacity to Ship Packages Within D Days</t>
        </is>
      </c>
      <c r="C612">
        <f>HYPERLINK("https://leetcode.com/problems/capacity-to-ship-packages-within-d-days/description/","capacity-to-ship-packages-within-d-days")</f>
        <v/>
      </c>
      <c r="D612" t="inlineStr">
        <is>
          <t>-</t>
        </is>
      </c>
      <c r="E612" t="inlineStr">
        <is>
          <t>Medium</t>
        </is>
      </c>
      <c r="F612" t="n">
        <v>13</v>
      </c>
      <c r="G612" t="inlineStr">
        <is>
          <t>Binary Search</t>
        </is>
      </c>
      <c r="H612" t="inlineStr">
        <is>
          <t>Binary Search On Answer</t>
        </is>
      </c>
      <c r="I612" t="inlineStr">
        <is>
          <t>Leetcode</t>
        </is>
      </c>
      <c r="J612" t="inlineStr">
        <is>
          <t>Problem</t>
        </is>
      </c>
    </row>
    <row r="613">
      <c r="A613" t="n">
        <v>228</v>
      </c>
      <c r="B613" t="inlineStr">
        <is>
          <t>Koko Eating Bananas</t>
        </is>
      </c>
      <c r="C613">
        <f>HYPERLINK("https://leetcode.com/problems/koko-eating-bananas/description/","koko-eating-bananas")</f>
        <v/>
      </c>
      <c r="D613" t="inlineStr">
        <is>
          <t>-</t>
        </is>
      </c>
      <c r="E613" t="inlineStr">
        <is>
          <t>Medium</t>
        </is>
      </c>
      <c r="F613" t="n">
        <v>13</v>
      </c>
      <c r="G613" t="inlineStr">
        <is>
          <t>Binary Search</t>
        </is>
      </c>
      <c r="H613" t="inlineStr">
        <is>
          <t>Binary Search On Answer</t>
        </is>
      </c>
      <c r="I613" t="inlineStr">
        <is>
          <t>Leetcode</t>
        </is>
      </c>
      <c r="J613" t="inlineStr">
        <is>
          <t>Problem</t>
        </is>
      </c>
    </row>
    <row r="614">
      <c r="A614" t="n">
        <v>194</v>
      </c>
      <c r="B614" t="inlineStr">
        <is>
          <t>Find the Smallest Divisor Given a Threshold</t>
        </is>
      </c>
      <c r="C614">
        <f>HYPERLINK("https://leetcode.com/problems/find-the-smallest-divisor-given-a-threshold/","find-the-smallest-divisor-given-a-threshold")</f>
        <v/>
      </c>
      <c r="D614" t="inlineStr">
        <is>
          <t>-</t>
        </is>
      </c>
      <c r="E614" t="inlineStr">
        <is>
          <t>Medium</t>
        </is>
      </c>
      <c r="F614" t="n">
        <v>13</v>
      </c>
      <c r="G614" t="inlineStr">
        <is>
          <t>Binary Search</t>
        </is>
      </c>
      <c r="H614" t="inlineStr">
        <is>
          <t>Binary Search On Answer</t>
        </is>
      </c>
      <c r="I614" t="inlineStr">
        <is>
          <t>Leetcode</t>
        </is>
      </c>
      <c r="J614" t="inlineStr">
        <is>
          <t>Problem</t>
        </is>
      </c>
    </row>
    <row r="615">
      <c r="A615" t="n">
        <v>397</v>
      </c>
      <c r="B615" t="inlineStr">
        <is>
          <t>Minimum Number of Days to Make M Bouquets</t>
        </is>
      </c>
      <c r="C615">
        <f>HYPERLINK("https://leetcode.com/problems/minimum-number-of-days-to-make-m-bouquets/description/","minimum-number-of-days-to-make-m-bouquets")</f>
        <v/>
      </c>
      <c r="D615" t="inlineStr">
        <is>
          <t>-</t>
        </is>
      </c>
      <c r="E615" t="inlineStr">
        <is>
          <t>Medium</t>
        </is>
      </c>
      <c r="F615" t="n">
        <v>13</v>
      </c>
      <c r="G615" t="inlineStr">
        <is>
          <t>Binary Search</t>
        </is>
      </c>
      <c r="H615" t="inlineStr">
        <is>
          <t>Binary Search On Answer</t>
        </is>
      </c>
      <c r="I615" t="inlineStr">
        <is>
          <t>Leetcode</t>
        </is>
      </c>
      <c r="J615" t="inlineStr">
        <is>
          <t>Problem</t>
        </is>
      </c>
    </row>
    <row r="616">
      <c r="A616" t="n">
        <v>1453</v>
      </c>
      <c r="B616" t="inlineStr">
        <is>
          <t>Aggressive Cows</t>
        </is>
      </c>
      <c r="C616">
        <f>HYPERLINK("https://www.geeksforgeeks.org/problems/aggressive-cows/1","Solve Problem")</f>
        <v/>
      </c>
      <c r="D616" t="inlineStr">
        <is>
          <t>-</t>
        </is>
      </c>
      <c r="E616" t="inlineStr">
        <is>
          <t>Medium</t>
        </is>
      </c>
      <c r="F616" t="n">
        <v>13</v>
      </c>
      <c r="G616" t="inlineStr">
        <is>
          <t>Binary Search</t>
        </is>
      </c>
      <c r="H616" t="inlineStr">
        <is>
          <t>Binary Search On Answer</t>
        </is>
      </c>
      <c r="I616" t="inlineStr">
        <is>
          <t>Geeksforgeeks</t>
        </is>
      </c>
      <c r="J616" t="inlineStr">
        <is>
          <t>Problem</t>
        </is>
      </c>
    </row>
    <row r="617">
      <c r="A617" t="n">
        <v>314</v>
      </c>
      <c r="B617" t="inlineStr">
        <is>
          <t>Maximum Candies Allocated to K Children</t>
        </is>
      </c>
      <c r="C617">
        <f>HYPERLINK("https://leetcode.com/problems/maximum-candies-allocated-to-k-children/","maximum-candies-allocated-to-k-children")</f>
        <v/>
      </c>
      <c r="D617" t="inlineStr">
        <is>
          <t>-</t>
        </is>
      </c>
      <c r="E617" t="inlineStr">
        <is>
          <t>Medium</t>
        </is>
      </c>
      <c r="F617" t="n">
        <v>13</v>
      </c>
      <c r="G617" t="inlineStr">
        <is>
          <t>Binary Search</t>
        </is>
      </c>
      <c r="H617" t="inlineStr">
        <is>
          <t>Binary Search On Answer</t>
        </is>
      </c>
      <c r="I617" t="inlineStr">
        <is>
          <t>Leetcode</t>
        </is>
      </c>
      <c r="J617" t="inlineStr">
        <is>
          <t>Problem</t>
        </is>
      </c>
    </row>
    <row r="618">
      <c r="A618" t="n">
        <v>537</v>
      </c>
      <c r="B618" t="inlineStr">
        <is>
          <t>Most Profit Assigning Work</t>
        </is>
      </c>
      <c r="C618">
        <f>HYPERLINK("https://leetcode.com/problems/most-profit-assigning-work/","most-profit-assigning-work")</f>
        <v/>
      </c>
      <c r="D618" t="inlineStr">
        <is>
          <t>-</t>
        </is>
      </c>
      <c r="E618" t="inlineStr">
        <is>
          <t>Medium</t>
        </is>
      </c>
      <c r="F618" t="n">
        <v>13</v>
      </c>
      <c r="G618" t="inlineStr">
        <is>
          <t>Binary Search</t>
        </is>
      </c>
      <c r="H618" t="inlineStr">
        <is>
          <t>Binary Search On Answer</t>
        </is>
      </c>
      <c r="I618" t="inlineStr">
        <is>
          <t>Leetcode</t>
        </is>
      </c>
      <c r="J618" t="inlineStr">
        <is>
          <t>Problem</t>
        </is>
      </c>
    </row>
    <row r="619">
      <c r="A619" t="n">
        <v>353</v>
      </c>
      <c r="B619" t="inlineStr">
        <is>
          <t>Maximum Value at a Given Index in a Bounded Array</t>
        </is>
      </c>
      <c r="C619">
        <f>HYPERLINK("https://leetcode.com/problems/maximum-value-at-a-given-index-in-a-bounded-array/","maximum-value-at-a-given-index-in-a-bounded-array")</f>
        <v/>
      </c>
      <c r="D619" t="inlineStr">
        <is>
          <t>-</t>
        </is>
      </c>
      <c r="E619" t="inlineStr">
        <is>
          <t>Medium</t>
        </is>
      </c>
      <c r="F619" t="n">
        <v>13</v>
      </c>
      <c r="G619" t="inlineStr">
        <is>
          <t>Binary Search</t>
        </is>
      </c>
      <c r="H619" t="inlineStr">
        <is>
          <t>Binary Search On Answer</t>
        </is>
      </c>
      <c r="I619" t="inlineStr">
        <is>
          <t>Leetcode</t>
        </is>
      </c>
      <c r="J619" t="inlineStr">
        <is>
          <t>Problem</t>
        </is>
      </c>
    </row>
    <row r="620">
      <c r="A620" t="n">
        <v>341</v>
      </c>
      <c r="B620" t="inlineStr">
        <is>
          <t>Maximum Side Length of a Square With Sum Less Than or Equal to Threshold</t>
        </is>
      </c>
      <c r="C620">
        <f>HYPERLINK("https://leetcode.com/problems/maximum-side-length-of-a-square-with-sum-less-than-or-equal-to-threshold/description/","maximum-side-length-of-a-square-with-sum-less-than-or-equal-to-threshold")</f>
        <v/>
      </c>
      <c r="D620" t="inlineStr">
        <is>
          <t>-</t>
        </is>
      </c>
      <c r="E620" t="inlineStr">
        <is>
          <t>Medium</t>
        </is>
      </c>
      <c r="F620" t="n">
        <v>13</v>
      </c>
      <c r="G620" t="inlineStr">
        <is>
          <t>Binary Search</t>
        </is>
      </c>
      <c r="H620" t="inlineStr">
        <is>
          <t>Binary Search On Answer</t>
        </is>
      </c>
      <c r="I620" t="inlineStr">
        <is>
          <t>Leetcode</t>
        </is>
      </c>
      <c r="J620" t="inlineStr">
        <is>
          <t>Problem</t>
        </is>
      </c>
    </row>
    <row r="621">
      <c r="A621" t="n">
        <v>417</v>
      </c>
      <c r="B621" t="inlineStr">
        <is>
          <t>Minimum Speed to Arrive on Time</t>
        </is>
      </c>
      <c r="C621">
        <f>HYPERLINK("https://leetcode.com/problems/minimum-speed-to-arrive-on-time/","minimum-speed-to-arrive-on-time")</f>
        <v/>
      </c>
      <c r="D621" t="inlineStr">
        <is>
          <t>-</t>
        </is>
      </c>
      <c r="E621" t="inlineStr">
        <is>
          <t>Medium</t>
        </is>
      </c>
      <c r="F621" t="n">
        <v>13</v>
      </c>
      <c r="G621" t="inlineStr">
        <is>
          <t>Binary Search</t>
        </is>
      </c>
      <c r="H621" t="inlineStr">
        <is>
          <t>Binary Search On Answer</t>
        </is>
      </c>
      <c r="I621" t="inlineStr">
        <is>
          <t>Leetcode</t>
        </is>
      </c>
      <c r="J621" t="inlineStr">
        <is>
          <t>Problem</t>
        </is>
      </c>
    </row>
    <row r="622">
      <c r="A622" t="n">
        <v>528</v>
      </c>
      <c r="B622" t="inlineStr">
        <is>
          <t>Minimum Time to Repair Cars</t>
        </is>
      </c>
      <c r="C622">
        <f>HYPERLINK("https://leetcode.com/problems/minimum-time-to-repair-cars/","minimum-time-to-repair-cars")</f>
        <v/>
      </c>
      <c r="D622" t="inlineStr">
        <is>
          <t>-</t>
        </is>
      </c>
      <c r="E622" t="inlineStr">
        <is>
          <t>Medium</t>
        </is>
      </c>
      <c r="F622" t="n">
        <v>13</v>
      </c>
      <c r="G622" t="inlineStr">
        <is>
          <t>Binary Search</t>
        </is>
      </c>
      <c r="H622" t="inlineStr">
        <is>
          <t>Binary Search On Answer</t>
        </is>
      </c>
      <c r="I622" t="inlineStr">
        <is>
          <t>Leetcode</t>
        </is>
      </c>
      <c r="J622" t="inlineStr">
        <is>
          <t>Problem</t>
        </is>
      </c>
    </row>
    <row r="623">
      <c r="A623" t="n">
        <v>331</v>
      </c>
      <c r="B623" t="inlineStr">
        <is>
          <t>Maximum Number of Removable Characters</t>
        </is>
      </c>
      <c r="C623">
        <f>HYPERLINK("https://leetcode.com/problems/maximum-number-of-removable-characters/","maximum-number-of-removable-characters")</f>
        <v/>
      </c>
      <c r="D623" t="inlineStr">
        <is>
          <t>-</t>
        </is>
      </c>
      <c r="E623" t="inlineStr">
        <is>
          <t>Medium</t>
        </is>
      </c>
      <c r="F623" t="n">
        <v>13</v>
      </c>
      <c r="G623" t="inlineStr">
        <is>
          <t>Binary Search</t>
        </is>
      </c>
      <c r="H623" t="inlineStr">
        <is>
          <t>Binary Search On Answer</t>
        </is>
      </c>
      <c r="I623" t="inlineStr">
        <is>
          <t>Leetcode</t>
        </is>
      </c>
      <c r="J623" t="inlineStr">
        <is>
          <t>Problem</t>
        </is>
      </c>
    </row>
    <row r="624">
      <c r="A624" t="n">
        <v>211</v>
      </c>
      <c r="B624" t="inlineStr">
        <is>
          <t>Heaters</t>
        </is>
      </c>
      <c r="C624">
        <f>HYPERLINK("https://leetcode.com/problems/heaters/","heaters")</f>
        <v/>
      </c>
      <c r="D624" t="inlineStr">
        <is>
          <t>-</t>
        </is>
      </c>
      <c r="E624" t="inlineStr">
        <is>
          <t>Medium</t>
        </is>
      </c>
      <c r="F624" t="n">
        <v>13</v>
      </c>
      <c r="G624" t="inlineStr">
        <is>
          <t>Binary Search</t>
        </is>
      </c>
      <c r="H624" t="inlineStr">
        <is>
          <t>Binary Search On Answer</t>
        </is>
      </c>
      <c r="I624" t="inlineStr">
        <is>
          <t>Leetcode</t>
        </is>
      </c>
      <c r="J624" t="inlineStr">
        <is>
          <t>Problem</t>
        </is>
      </c>
    </row>
    <row r="625">
      <c r="A625" t="n">
        <v>153</v>
      </c>
      <c r="B625" t="inlineStr">
        <is>
          <t>Earliest Second to Mark Indices I</t>
        </is>
      </c>
      <c r="C625">
        <f>HYPERLINK("https://leetcode.com/problems/earliest-second-to-mark-indices-i/","earliest-second-to-mark-indices-i")</f>
        <v/>
      </c>
      <c r="D625" t="inlineStr">
        <is>
          <t>-</t>
        </is>
      </c>
      <c r="E625" t="inlineStr">
        <is>
          <t>Medium</t>
        </is>
      </c>
      <c r="F625" t="n">
        <v>13</v>
      </c>
      <c r="G625" t="inlineStr">
        <is>
          <t>Binary Search</t>
        </is>
      </c>
      <c r="H625" t="inlineStr">
        <is>
          <t>Binary Search On Answer</t>
        </is>
      </c>
      <c r="I625" t="inlineStr">
        <is>
          <t>Leetcode</t>
        </is>
      </c>
      <c r="J625" t="inlineStr">
        <is>
          <t>Problem</t>
        </is>
      </c>
    </row>
    <row r="626">
      <c r="A626" t="n">
        <v>354</v>
      </c>
      <c r="B626" t="inlineStr">
        <is>
          <t>Maximum White Tiles Covered by a Carpet</t>
        </is>
      </c>
      <c r="C626">
        <f>HYPERLINK("https://leetcode.com/problems/maximum-white-tiles-covered-by-a-carpet/","maximum-white-tiles-covered-by-a-carpet")</f>
        <v/>
      </c>
      <c r="D626" t="inlineStr">
        <is>
          <t>-</t>
        </is>
      </c>
      <c r="E626" t="inlineStr">
        <is>
          <t>Medium</t>
        </is>
      </c>
      <c r="F626" t="n">
        <v>13</v>
      </c>
      <c r="G626" t="inlineStr">
        <is>
          <t>Binary Search</t>
        </is>
      </c>
      <c r="H626" t="inlineStr">
        <is>
          <t>Binary Search On Answer</t>
        </is>
      </c>
      <c r="I626" t="inlineStr">
        <is>
          <t>Leetcode</t>
        </is>
      </c>
      <c r="J626" t="inlineStr">
        <is>
          <t>Problem</t>
        </is>
      </c>
    </row>
    <row r="627">
      <c r="A627" t="n">
        <v>367</v>
      </c>
      <c r="B627" t="inlineStr">
        <is>
          <t>Minimum Absolute Difference Between Elements with Constraint</t>
        </is>
      </c>
      <c r="C627">
        <f>HYPERLINK("https://leetcode.com/problems/minimum-absolute-difference-between-elements-with-constraint/","minimum-absolute-difference-between-elements-with-constraint")</f>
        <v/>
      </c>
      <c r="D627" t="inlineStr">
        <is>
          <t>-</t>
        </is>
      </c>
      <c r="E627" t="inlineStr">
        <is>
          <t>Medium</t>
        </is>
      </c>
      <c r="F627" t="n">
        <v>13</v>
      </c>
      <c r="G627" t="inlineStr">
        <is>
          <t>Binary Search</t>
        </is>
      </c>
      <c r="H627" t="inlineStr">
        <is>
          <t>Binary Search On Answer</t>
        </is>
      </c>
      <c r="I627" t="inlineStr">
        <is>
          <t>Leetcode</t>
        </is>
      </c>
      <c r="J627" t="inlineStr">
        <is>
          <t>Problem</t>
        </is>
      </c>
    </row>
    <row r="628">
      <c r="A628" t="n">
        <v>676</v>
      </c>
      <c r="B628" t="inlineStr">
        <is>
          <t>Sell Diminishing-Valued Colored Balls</t>
        </is>
      </c>
      <c r="C628">
        <f>HYPERLINK("https://leetcode.com/problems/sell-diminishing-valued-colored-balls/","sell-diminishing-valued-colored-balls")</f>
        <v/>
      </c>
      <c r="D628" t="inlineStr">
        <is>
          <t>-</t>
        </is>
      </c>
      <c r="E628" t="inlineStr">
        <is>
          <t>Medium</t>
        </is>
      </c>
      <c r="F628" t="n">
        <v>13</v>
      </c>
      <c r="G628" t="inlineStr">
        <is>
          <t>Binary Search</t>
        </is>
      </c>
      <c r="H628" t="inlineStr">
        <is>
          <t>Binary Search On Answer</t>
        </is>
      </c>
      <c r="I628" t="inlineStr">
        <is>
          <t>Leetcode</t>
        </is>
      </c>
      <c r="J628" t="inlineStr">
        <is>
          <t>Problem</t>
        </is>
      </c>
    </row>
    <row r="629">
      <c r="A629" t="n">
        <v>758</v>
      </c>
      <c r="B629" t="inlineStr">
        <is>
          <t>Ugly Number III</t>
        </is>
      </c>
      <c r="C629">
        <f>HYPERLINK("https://leetcode.com/problems/ugly-number-iii/","ugly-number-iii")</f>
        <v/>
      </c>
      <c r="D629" t="inlineStr">
        <is>
          <t>-</t>
        </is>
      </c>
      <c r="E629" t="inlineStr">
        <is>
          <t>Medium</t>
        </is>
      </c>
      <c r="F629" t="n">
        <v>13</v>
      </c>
      <c r="G629" t="inlineStr">
        <is>
          <t>Binary Search</t>
        </is>
      </c>
      <c r="H629" t="inlineStr">
        <is>
          <t>Binary Search On Answer</t>
        </is>
      </c>
      <c r="I629" t="inlineStr">
        <is>
          <t>Leetcode</t>
        </is>
      </c>
      <c r="J629" t="inlineStr">
        <is>
          <t>Problem</t>
        </is>
      </c>
    </row>
    <row r="630">
      <c r="A630" t="n">
        <v>824</v>
      </c>
      <c r="B630" t="inlineStr">
        <is>
          <t>Minimize the Maximum of Two Arrays</t>
        </is>
      </c>
      <c r="C630">
        <f>HYPERLINK("https://leetcode.com/problems/minimize-the-maximum-of-two-arrays/description/","minimize-the-maximum-of-two-arrays")</f>
        <v/>
      </c>
      <c r="D630" t="inlineStr">
        <is>
          <t>-</t>
        </is>
      </c>
      <c r="E630" t="inlineStr">
        <is>
          <t>Medium</t>
        </is>
      </c>
      <c r="F630" t="n">
        <v>13</v>
      </c>
      <c r="G630" t="inlineStr">
        <is>
          <t>Binary Search</t>
        </is>
      </c>
      <c r="H630" t="inlineStr">
        <is>
          <t>Binary Search On Answer</t>
        </is>
      </c>
      <c r="I630" t="inlineStr">
        <is>
          <t>Leetcode</t>
        </is>
      </c>
      <c r="J630" t="inlineStr">
        <is>
          <t>Problem</t>
        </is>
      </c>
    </row>
    <row r="631">
      <c r="A631" t="n">
        <v>709</v>
      </c>
      <c r="B631" t="inlineStr">
        <is>
          <t>Split Array Largest Sum</t>
        </is>
      </c>
      <c r="C631">
        <f>HYPERLINK("https://leetcode.com/problems/split-array-largest-sum/","split-array-largest-sum")</f>
        <v/>
      </c>
      <c r="D631" t="inlineStr">
        <is>
          <t>-</t>
        </is>
      </c>
      <c r="E631" t="inlineStr">
        <is>
          <t>Medium</t>
        </is>
      </c>
      <c r="F631" t="n">
        <v>13</v>
      </c>
      <c r="G631" t="inlineStr">
        <is>
          <t>Binary Search</t>
        </is>
      </c>
      <c r="H631" t="inlineStr">
        <is>
          <t>Binary Search On Answer</t>
        </is>
      </c>
      <c r="I631" t="inlineStr">
        <is>
          <t>Leetcode</t>
        </is>
      </c>
      <c r="J631" t="inlineStr">
        <is>
          <t>Problem</t>
        </is>
      </c>
    </row>
    <row r="632">
      <c r="A632" t="n">
        <v>338</v>
      </c>
      <c r="B632" t="inlineStr">
        <is>
          <t>Maximum Running Time of N Computers</t>
        </is>
      </c>
      <c r="C632">
        <f>HYPERLINK("https://leetcode.com/problems/maximum-running-time-of-n-computers/","maximum-running-time-of-n-computers")</f>
        <v/>
      </c>
      <c r="D632" t="inlineStr">
        <is>
          <t>-</t>
        </is>
      </c>
      <c r="E632" t="inlineStr">
        <is>
          <t>Medium</t>
        </is>
      </c>
      <c r="F632" t="n">
        <v>13</v>
      </c>
      <c r="G632" t="inlineStr">
        <is>
          <t>Binary Search</t>
        </is>
      </c>
      <c r="H632" t="inlineStr">
        <is>
          <t>Binary Search On Answer</t>
        </is>
      </c>
      <c r="I632" t="inlineStr">
        <is>
          <t>Leetcode</t>
        </is>
      </c>
      <c r="J632" t="inlineStr">
        <is>
          <t>Problem</t>
        </is>
      </c>
    </row>
    <row r="633">
      <c r="A633" t="n">
        <v>332</v>
      </c>
      <c r="B633" t="inlineStr">
        <is>
          <t>Maximum Number of Robots Within Budget</t>
        </is>
      </c>
      <c r="C633">
        <f>HYPERLINK("https://leetcode.com/problems/maximum-number-of-robots-within-budget/","maximum-number-of-robots-within-budget")</f>
        <v/>
      </c>
      <c r="D633" t="inlineStr">
        <is>
          <t>-</t>
        </is>
      </c>
      <c r="E633" t="inlineStr">
        <is>
          <t>Hard</t>
        </is>
      </c>
      <c r="F633" t="n">
        <v>13</v>
      </c>
      <c r="G633" t="inlineStr">
        <is>
          <t>Binary Search</t>
        </is>
      </c>
      <c r="H633" t="inlineStr">
        <is>
          <t>Binary Search On Answer</t>
        </is>
      </c>
      <c r="I633" t="inlineStr">
        <is>
          <t>Leetcode</t>
        </is>
      </c>
      <c r="J633" t="inlineStr">
        <is>
          <t>Problem</t>
        </is>
      </c>
    </row>
    <row r="634">
      <c r="A634" t="n">
        <v>328</v>
      </c>
      <c r="B634" t="inlineStr">
        <is>
          <t>Maximum Number of Groups With Increasing Length</t>
        </is>
      </c>
      <c r="C634">
        <f>HYPERLINK("https://leetcode.com/problems/maximum-number-of-groups-with-increasing-length/","maximum-number-of-groups-with-increasing-length")</f>
        <v/>
      </c>
      <c r="D634" t="inlineStr">
        <is>
          <t>-</t>
        </is>
      </c>
      <c r="E634" t="inlineStr">
        <is>
          <t>Hard</t>
        </is>
      </c>
      <c r="F634" t="n">
        <v>13</v>
      </c>
      <c r="G634" t="inlineStr">
        <is>
          <t>Binary Search</t>
        </is>
      </c>
      <c r="H634" t="inlineStr">
        <is>
          <t>Binary Search On Answer</t>
        </is>
      </c>
      <c r="I634" t="inlineStr">
        <is>
          <t>Leetcode</t>
        </is>
      </c>
      <c r="J634" t="inlineStr">
        <is>
          <t>Problem</t>
        </is>
      </c>
    </row>
    <row r="635">
      <c r="A635" t="n">
        <v>333</v>
      </c>
      <c r="B635" t="inlineStr">
        <is>
          <t>Maximum Number of Tasks You Can Assign</t>
        </is>
      </c>
      <c r="C635">
        <f>HYPERLINK("https://leetcode.com/problems/maximum-number-of-tasks-you-can-assign/","maximum-number-of-tasks-you-can-assign")</f>
        <v/>
      </c>
      <c r="D635" t="inlineStr">
        <is>
          <t>-</t>
        </is>
      </c>
      <c r="E635" t="inlineStr">
        <is>
          <t>Hard</t>
        </is>
      </c>
      <c r="F635" t="n">
        <v>13</v>
      </c>
      <c r="G635" t="inlineStr">
        <is>
          <t>Binary Search</t>
        </is>
      </c>
      <c r="H635" t="inlineStr">
        <is>
          <t>Binary Search On Answer</t>
        </is>
      </c>
      <c r="I635" t="inlineStr">
        <is>
          <t>Leetcode</t>
        </is>
      </c>
      <c r="J635" t="inlineStr">
        <is>
          <t>Problem</t>
        </is>
      </c>
    </row>
    <row r="636">
      <c r="A636" t="n">
        <v>355</v>
      </c>
      <c r="B636" t="inlineStr">
        <is>
          <t>Median of Two Sorted Arrays</t>
        </is>
      </c>
      <c r="C636">
        <f>HYPERLINK("https://leetcode.com/problems/median-of-two-sorted-arrays/description/","median-of-two-sorted-arrays")</f>
        <v/>
      </c>
      <c r="D636" t="inlineStr">
        <is>
          <t>-</t>
        </is>
      </c>
      <c r="E636" t="inlineStr">
        <is>
          <t>Hard</t>
        </is>
      </c>
      <c r="F636" t="n">
        <v>13</v>
      </c>
      <c r="G636" t="inlineStr">
        <is>
          <t>Binary Search</t>
        </is>
      </c>
      <c r="H636" t="inlineStr">
        <is>
          <t>Binary Search On Answer</t>
        </is>
      </c>
      <c r="I636" t="inlineStr">
        <is>
          <t>Leetcode</t>
        </is>
      </c>
      <c r="J636" t="inlineStr">
        <is>
          <t>Problem</t>
        </is>
      </c>
    </row>
    <row r="637">
      <c r="A637" t="n">
        <v>276</v>
      </c>
      <c r="B637" t="inlineStr">
        <is>
          <t>Magnetic Force Between Two Balls</t>
        </is>
      </c>
      <c r="C637">
        <f>HYPERLINK("https://leetcode.com/problems/magnetic-force-between-two-balls/","magnetic-force-between-two-balls")</f>
        <v/>
      </c>
      <c r="D637" t="inlineStr">
        <is>
          <t>-</t>
        </is>
      </c>
      <c r="E637" t="inlineStr">
        <is>
          <t>Medium</t>
        </is>
      </c>
      <c r="F637" t="n">
        <v>13</v>
      </c>
      <c r="G637" t="inlineStr">
        <is>
          <t>Binary Search</t>
        </is>
      </c>
      <c r="H637" t="inlineStr">
        <is>
          <t>Minmax Problems</t>
        </is>
      </c>
      <c r="I637" t="inlineStr">
        <is>
          <t>Leetcode</t>
        </is>
      </c>
      <c r="J637" t="inlineStr">
        <is>
          <t>Problem</t>
        </is>
      </c>
    </row>
    <row r="638">
      <c r="A638" t="n">
        <v>351</v>
      </c>
      <c r="B638" t="inlineStr">
        <is>
          <t>Maximum Tastiness of Candy Basket</t>
        </is>
      </c>
      <c r="C638">
        <f>HYPERLINK("https://leetcode.com/problems/maximum-tastiness-of-candy-basket/","maximum-tastiness-of-candy-basket")</f>
        <v/>
      </c>
      <c r="D638" t="inlineStr">
        <is>
          <t>-</t>
        </is>
      </c>
      <c r="E638" t="inlineStr">
        <is>
          <t>Medium</t>
        </is>
      </c>
      <c r="F638" t="n">
        <v>13</v>
      </c>
      <c r="G638" t="inlineStr">
        <is>
          <t>Binary Search</t>
        </is>
      </c>
      <c r="H638" t="inlineStr">
        <is>
          <t>Minmax Problems</t>
        </is>
      </c>
      <c r="I638" t="inlineStr">
        <is>
          <t>Leetcode</t>
        </is>
      </c>
      <c r="J638" t="inlineStr">
        <is>
          <t>Problem</t>
        </is>
      </c>
    </row>
    <row r="639">
      <c r="A639" t="n">
        <v>393</v>
      </c>
      <c r="B639" t="inlineStr">
        <is>
          <t>Minimum Limit of Balls in a Bag</t>
        </is>
      </c>
      <c r="C639">
        <f>HYPERLINK("https://leetcode.com/problems/minimum-limit-of-balls-in-a-bag/","minimum-limit-of-balls-in-a-bag")</f>
        <v/>
      </c>
      <c r="D639" t="inlineStr">
        <is>
          <t>-</t>
        </is>
      </c>
      <c r="E639" t="inlineStr">
        <is>
          <t>Medium</t>
        </is>
      </c>
      <c r="F639" t="n">
        <v>13</v>
      </c>
      <c r="G639" t="inlineStr">
        <is>
          <t>Binary Search</t>
        </is>
      </c>
      <c r="H639" t="inlineStr">
        <is>
          <t>Minmax Problems</t>
        </is>
      </c>
      <c r="I639" t="inlineStr">
        <is>
          <t>Leetcode</t>
        </is>
      </c>
      <c r="J639" t="inlineStr">
        <is>
          <t>Problem</t>
        </is>
      </c>
    </row>
    <row r="640">
      <c r="A640" t="n">
        <v>366</v>
      </c>
      <c r="B640" t="inlineStr">
        <is>
          <t>Minimized Maximum of Products Distributed to Any Store</t>
        </is>
      </c>
      <c r="C640">
        <f>HYPERLINK("https://leetcode.com/problems/minimized-maximum-of-products-distributed-to-any-store/","minimized-maximum-of-products-distributed-to-any-store")</f>
        <v/>
      </c>
      <c r="D640" t="inlineStr">
        <is>
          <t>-</t>
        </is>
      </c>
      <c r="E640" t="inlineStr">
        <is>
          <t>Medium</t>
        </is>
      </c>
      <c r="F640" t="n">
        <v>13</v>
      </c>
      <c r="G640" t="inlineStr">
        <is>
          <t>Binary Search</t>
        </is>
      </c>
      <c r="H640" t="inlineStr">
        <is>
          <t>Minmax Problems</t>
        </is>
      </c>
      <c r="I640" t="inlineStr">
        <is>
          <t>Leetcode</t>
        </is>
      </c>
      <c r="J640" t="inlineStr">
        <is>
          <t>Problem</t>
        </is>
      </c>
    </row>
    <row r="641">
      <c r="A641" t="n">
        <v>365</v>
      </c>
      <c r="B641" t="inlineStr">
        <is>
          <t>Minimize the Maximum Difference of Pairs</t>
        </is>
      </c>
      <c r="C641">
        <f>HYPERLINK("https://leetcode.com/problems/minimize-the-maximum-difference-of-pairs/","minimize-the-maximum-difference-of-pairs")</f>
        <v/>
      </c>
      <c r="D641" t="inlineStr">
        <is>
          <t>-</t>
        </is>
      </c>
      <c r="E641" t="inlineStr">
        <is>
          <t>Medium</t>
        </is>
      </c>
      <c r="F641" t="n">
        <v>13</v>
      </c>
      <c r="G641" t="inlineStr">
        <is>
          <t>Binary Search</t>
        </is>
      </c>
      <c r="H641" t="inlineStr">
        <is>
          <t>Minmax Problems</t>
        </is>
      </c>
      <c r="I641" t="inlineStr">
        <is>
          <t>Leetcode</t>
        </is>
      </c>
      <c r="J641" t="inlineStr">
        <is>
          <t>Problem</t>
        </is>
      </c>
    </row>
    <row r="642">
      <c r="A642" t="n">
        <v>309</v>
      </c>
      <c r="B642" t="inlineStr">
        <is>
          <t>Maximize the Minimum Powered City</t>
        </is>
      </c>
      <c r="C642">
        <f>HYPERLINK("https://leetcode.com/problems/maximize-the-minimum-powered-city/","maximize-the-minimum-powered-city")</f>
        <v/>
      </c>
      <c r="D642" t="inlineStr">
        <is>
          <t>-</t>
        </is>
      </c>
      <c r="E642" t="inlineStr">
        <is>
          <t>Hard</t>
        </is>
      </c>
      <c r="F642" t="n">
        <v>13</v>
      </c>
      <c r="G642" t="inlineStr">
        <is>
          <t>Binary Search</t>
        </is>
      </c>
      <c r="H642" t="inlineStr">
        <is>
          <t>Minmax Problems</t>
        </is>
      </c>
      <c r="I642" t="inlineStr">
        <is>
          <t>Leetcode</t>
        </is>
      </c>
      <c r="J642" t="inlineStr">
        <is>
          <t>Problem</t>
        </is>
      </c>
    </row>
    <row r="643">
      <c r="A643" t="n">
        <v>232</v>
      </c>
      <c r="B643" t="inlineStr">
        <is>
          <t>Kth Smallest Number in Multiplication Table</t>
        </is>
      </c>
      <c r="C643">
        <f>HYPERLINK("https://leetcode.com/problems/kth-smallest-number-in-multiplication-table/description/","kth-smallest-number-in-multiplication-table")</f>
        <v/>
      </c>
      <c r="D643" t="inlineStr">
        <is>
          <t>-</t>
        </is>
      </c>
      <c r="E643" t="inlineStr">
        <is>
          <t>Hard</t>
        </is>
      </c>
      <c r="F643" t="n">
        <v>13</v>
      </c>
      <c r="G643" t="inlineStr">
        <is>
          <t>Binary Search</t>
        </is>
      </c>
      <c r="H643" t="inlineStr">
        <is>
          <t>Finding the K-th Element</t>
        </is>
      </c>
      <c r="I643" t="inlineStr">
        <is>
          <t>Leetcode</t>
        </is>
      </c>
      <c r="J643" t="inlineStr">
        <is>
          <t>Problem</t>
        </is>
      </c>
    </row>
    <row r="644">
      <c r="A644" t="n">
        <v>169</v>
      </c>
      <c r="B644" t="inlineStr">
        <is>
          <t>Find K-th Smallest Pair Distance</t>
        </is>
      </c>
      <c r="C644">
        <f>HYPERLINK("https://leetcode.com/problems/find-k-th-smallest-pair-distance/","find-k-th-smallest-pair-distance")</f>
        <v/>
      </c>
      <c r="D644" t="inlineStr">
        <is>
          <t>-</t>
        </is>
      </c>
      <c r="E644" t="inlineStr">
        <is>
          <t>Hard</t>
        </is>
      </c>
      <c r="F644" t="n">
        <v>13</v>
      </c>
      <c r="G644" t="inlineStr">
        <is>
          <t>Binary Search</t>
        </is>
      </c>
      <c r="H644" t="inlineStr">
        <is>
          <t>Finding the K-th Element</t>
        </is>
      </c>
      <c r="I644" t="inlineStr">
        <is>
          <t>Leetcode</t>
        </is>
      </c>
      <c r="J644" t="inlineStr">
        <is>
          <t>Problem</t>
        </is>
      </c>
    </row>
    <row r="645">
      <c r="A645" t="n">
        <v>290</v>
      </c>
      <c r="B645" t="inlineStr">
        <is>
          <t>Kth Smallest Element in a Sorted Matrix</t>
        </is>
      </c>
      <c r="C645">
        <f>HYPERLINK("https://leetcode.com/problems/kth-smallest-element-in-a-sorted-matrix/","kth-smallest-element-in-a-sorted-matrix")</f>
        <v/>
      </c>
      <c r="D645" t="inlineStr">
        <is>
          <t>-</t>
        </is>
      </c>
      <c r="E645" t="inlineStr">
        <is>
          <t>Hard</t>
        </is>
      </c>
      <c r="F645" t="n">
        <v>13</v>
      </c>
      <c r="G645" t="inlineStr">
        <is>
          <t>Binary Search</t>
        </is>
      </c>
      <c r="H645" t="inlineStr">
        <is>
          <t>Finding the K-th Element</t>
        </is>
      </c>
      <c r="I645" t="inlineStr">
        <is>
          <t>Leetcode</t>
        </is>
      </c>
      <c r="J645" t="inlineStr">
        <is>
          <t>Problem</t>
        </is>
      </c>
    </row>
    <row r="646">
      <c r="A646" t="n">
        <v>189</v>
      </c>
      <c r="B646" t="inlineStr">
        <is>
          <t>Find the Median of the Uniqueness Array</t>
        </is>
      </c>
      <c r="C646">
        <f>HYPERLINK("https://leetcode.com/problems/find-the-median-of-the-uniqueness-array/description/","find-the-median-of-the-uniqueness-array")</f>
        <v/>
      </c>
      <c r="D646" t="inlineStr">
        <is>
          <t>-</t>
        </is>
      </c>
      <c r="E646" t="inlineStr">
        <is>
          <t>Hard</t>
        </is>
      </c>
      <c r="F646" t="n">
        <v>13</v>
      </c>
      <c r="G646" t="inlineStr">
        <is>
          <t>Binary Search</t>
        </is>
      </c>
      <c r="H646" t="inlineStr">
        <is>
          <t>Finding the K-th Element</t>
        </is>
      </c>
      <c r="I646" t="inlineStr">
        <is>
          <t>Leetcode</t>
        </is>
      </c>
      <c r="J646" t="inlineStr">
        <is>
          <t>Problem</t>
        </is>
      </c>
    </row>
    <row r="647">
      <c r="A647" t="n">
        <v>233</v>
      </c>
      <c r="B647" t="inlineStr">
        <is>
          <t>Kth Smallest Product of Two Sorted Arrays</t>
        </is>
      </c>
      <c r="C647">
        <f>HYPERLINK("https://leetcode.com/problems/kth-smallest-product-of-two-sorted-arrays/","kth-smallest-product-of-two-sorted-arrays")</f>
        <v/>
      </c>
      <c r="D647" t="inlineStr">
        <is>
          <t>-</t>
        </is>
      </c>
      <c r="E647" t="inlineStr">
        <is>
          <t>Hard</t>
        </is>
      </c>
      <c r="F647" t="n">
        <v>13</v>
      </c>
      <c r="G647" t="inlineStr">
        <is>
          <t>Binary Search</t>
        </is>
      </c>
      <c r="H647" t="inlineStr">
        <is>
          <t>Finding the K-th Element</t>
        </is>
      </c>
      <c r="I647" t="inlineStr">
        <is>
          <t>Leetcode</t>
        </is>
      </c>
      <c r="J647" t="inlineStr">
        <is>
          <t>Problem</t>
        </is>
      </c>
    </row>
    <row r="648">
      <c r="A648" t="n">
        <v>823</v>
      </c>
      <c r="B648" t="inlineStr">
        <is>
          <t>Kth Smallest Amount With Single Denomination Combination</t>
        </is>
      </c>
      <c r="C648">
        <f>HYPERLINK("https://leetcode.com/problems/kth-smallest-amount-with-single-denomination-combination/","kth-smallest-amount-with-single-denomination-combination")</f>
        <v/>
      </c>
      <c r="D648" t="inlineStr">
        <is>
          <t>-</t>
        </is>
      </c>
      <c r="E648" t="inlineStr">
        <is>
          <t>Hard</t>
        </is>
      </c>
      <c r="F648" t="n">
        <v>13</v>
      </c>
      <c r="G648" t="inlineStr">
        <is>
          <t>Binary Search</t>
        </is>
      </c>
      <c r="H648" t="inlineStr">
        <is>
          <t>Finding the K-th Element</t>
        </is>
      </c>
      <c r="I648" t="inlineStr">
        <is>
          <t>Leetcode</t>
        </is>
      </c>
      <c r="J648" t="inlineStr">
        <is>
          <t>Problem</t>
        </is>
      </c>
    </row>
    <row r="649">
      <c r="A649" t="n">
        <v>187</v>
      </c>
      <c r="B649" t="inlineStr">
        <is>
          <t>Find the Kth Smallest Sum of a Matrix With Sorted Rows</t>
        </is>
      </c>
      <c r="C649">
        <f>HYPERLINK("https://leetcode.com/problems/find-the-kth-smallest-sum-of-a-matrix-with-sorted-rows/description/","find-the-kth-smallest-sum-of-a-matrix-with-sorted-rows")</f>
        <v/>
      </c>
      <c r="D649" t="inlineStr">
        <is>
          <t>-</t>
        </is>
      </c>
      <c r="E649" t="inlineStr">
        <is>
          <t>Hard</t>
        </is>
      </c>
      <c r="F649" t="n">
        <v>13</v>
      </c>
      <c r="G649" t="inlineStr">
        <is>
          <t>Binary Search</t>
        </is>
      </c>
      <c r="H649" t="inlineStr">
        <is>
          <t>Finding the K-th Element</t>
        </is>
      </c>
      <c r="I649" t="inlineStr">
        <is>
          <t>Leetcode</t>
        </is>
      </c>
      <c r="J649" t="inlineStr">
        <is>
          <t>Problem</t>
        </is>
      </c>
    </row>
    <row r="650">
      <c r="A650" t="n">
        <v>1466</v>
      </c>
      <c r="B650" t="inlineStr">
        <is>
          <t>Decimal to Binary</t>
        </is>
      </c>
      <c r="C650">
        <f>HYPERLINK("https://www.geeksforgeeks.org/problems/decimal-to-binary-1587115620/1","Solve Problem")</f>
        <v/>
      </c>
      <c r="D650" t="inlineStr">
        <is>
          <t>-</t>
        </is>
      </c>
      <c r="E650" t="inlineStr">
        <is>
          <t>Easy</t>
        </is>
      </c>
      <c r="F650" t="n">
        <v>14</v>
      </c>
      <c r="G650" t="inlineStr">
        <is>
          <t>Bit Manipulation</t>
        </is>
      </c>
      <c r="H650" t="inlineStr">
        <is>
          <t>Basic Bit Concepts</t>
        </is>
      </c>
      <c r="I650" t="inlineStr">
        <is>
          <t>Geeksforgeeks</t>
        </is>
      </c>
      <c r="J650" t="inlineStr">
        <is>
          <t>Problem</t>
        </is>
      </c>
    </row>
    <row r="651">
      <c r="A651" t="n">
        <v>1456</v>
      </c>
      <c r="B651" t="inlineStr">
        <is>
          <t>Get, Set, Clear ith Bit</t>
        </is>
      </c>
      <c r="C651">
        <f>HYPERLINK("https://www.geeksforgeeks.org/problems/bit-manipulation-1666686020/0","Solve Problem")</f>
        <v/>
      </c>
      <c r="D651" t="inlineStr">
        <is>
          <t>-</t>
        </is>
      </c>
      <c r="E651" t="inlineStr">
        <is>
          <t>Easy</t>
        </is>
      </c>
      <c r="F651" t="n">
        <v>14</v>
      </c>
      <c r="G651" t="inlineStr">
        <is>
          <t>Bit Manipulation</t>
        </is>
      </c>
      <c r="H651" t="inlineStr">
        <is>
          <t>Basic Bit Concepts</t>
        </is>
      </c>
      <c r="I651" t="inlineStr">
        <is>
          <t>Geeksforgeeks</t>
        </is>
      </c>
      <c r="J651" t="inlineStr">
        <is>
          <t>Problem</t>
        </is>
      </c>
    </row>
    <row r="652">
      <c r="A652" t="n">
        <v>1461</v>
      </c>
      <c r="B652" t="inlineStr">
        <is>
          <t>Kth Bit is Set or Not</t>
        </is>
      </c>
      <c r="C652">
        <f>HYPERLINK("https://www.geeksforgeeks.org/problems/check-whether-k-th-bit-is-set-or-not-1587115620/1","Solve Problem")</f>
        <v/>
      </c>
      <c r="D652" t="inlineStr">
        <is>
          <t>-</t>
        </is>
      </c>
      <c r="E652" t="inlineStr">
        <is>
          <t>Easy</t>
        </is>
      </c>
      <c r="F652" t="n">
        <v>14</v>
      </c>
      <c r="G652" t="inlineStr">
        <is>
          <t>Bit Manipulation</t>
        </is>
      </c>
      <c r="H652" t="inlineStr">
        <is>
          <t>Basic Bit Concepts</t>
        </is>
      </c>
      <c r="I652" t="inlineStr">
        <is>
          <t>Geeksforgeeks</t>
        </is>
      </c>
      <c r="J652" t="inlineStr">
        <is>
          <t>Problem</t>
        </is>
      </c>
    </row>
    <row r="653">
      <c r="A653" t="n">
        <v>1501</v>
      </c>
      <c r="B653" t="inlineStr">
        <is>
          <t>Check Odd or Even</t>
        </is>
      </c>
      <c r="C653">
        <f>HYPERLINK("https://www.geeksforgeeks.org/problems/odd-or-even3618/1","Solve Problem")</f>
        <v/>
      </c>
      <c r="D653" t="inlineStr">
        <is>
          <t>-</t>
        </is>
      </c>
      <c r="E653" t="inlineStr">
        <is>
          <t>Easy</t>
        </is>
      </c>
      <c r="F653" t="n">
        <v>14</v>
      </c>
      <c r="G653" t="inlineStr">
        <is>
          <t>Bit Manipulation</t>
        </is>
      </c>
      <c r="H653" t="inlineStr">
        <is>
          <t>Basic Bit Concepts</t>
        </is>
      </c>
      <c r="I653" t="inlineStr">
        <is>
          <t>Geeksforgeeks</t>
        </is>
      </c>
      <c r="J653" t="inlineStr">
        <is>
          <t>Problem</t>
        </is>
      </c>
    </row>
    <row r="654">
      <c r="A654" t="n">
        <v>1514</v>
      </c>
      <c r="B654" t="inlineStr">
        <is>
          <t>Set the Rightmost Unset Bit</t>
        </is>
      </c>
      <c r="C654">
        <f>HYPERLINK("https://www.geeksforgeeks.org/problems/set-the-rightmost-unset-bit4436/1","Solve Problem")</f>
        <v/>
      </c>
      <c r="D654" t="inlineStr">
        <is>
          <t>-</t>
        </is>
      </c>
      <c r="E654" t="inlineStr">
        <is>
          <t>Easy</t>
        </is>
      </c>
      <c r="F654" t="n">
        <v>14</v>
      </c>
      <c r="G654" t="inlineStr">
        <is>
          <t>Bit Manipulation</t>
        </is>
      </c>
      <c r="H654" t="inlineStr">
        <is>
          <t>Basic Bit Concepts</t>
        </is>
      </c>
      <c r="I654" t="inlineStr">
        <is>
          <t>Geeksforgeeks</t>
        </is>
      </c>
      <c r="J654" t="inlineStr">
        <is>
          <t>Problem</t>
        </is>
      </c>
    </row>
    <row r="655">
      <c r="A655" t="n">
        <v>552</v>
      </c>
      <c r="B655" t="inlineStr">
        <is>
          <t>Number Complement</t>
        </is>
      </c>
      <c r="C655">
        <f>HYPERLINK("https://leetcode.com/problems/number-complement/description/","number-complement")</f>
        <v/>
      </c>
      <c r="D655" t="inlineStr">
        <is>
          <t>-</t>
        </is>
      </c>
      <c r="E655" t="inlineStr">
        <is>
          <t>Easy</t>
        </is>
      </c>
      <c r="F655" t="n">
        <v>14</v>
      </c>
      <c r="G655" t="inlineStr">
        <is>
          <t>Bit Manipulation</t>
        </is>
      </c>
      <c r="H655" t="inlineStr">
        <is>
          <t>Basic Bit Concepts</t>
        </is>
      </c>
      <c r="I655" t="inlineStr">
        <is>
          <t>Leetcode</t>
        </is>
      </c>
      <c r="J655" t="inlineStr">
        <is>
          <t>Problem</t>
        </is>
      </c>
    </row>
    <row r="656">
      <c r="A656" t="n">
        <v>827</v>
      </c>
      <c r="B656" t="inlineStr">
        <is>
          <t>Number of 1 Bits</t>
        </is>
      </c>
      <c r="C656">
        <f>HYPERLINK("https://leetcode.com/problems/number-of-1-bits/","number-of-1-bits")</f>
        <v/>
      </c>
      <c r="D656" t="inlineStr">
        <is>
          <t>-</t>
        </is>
      </c>
      <c r="E656" t="inlineStr">
        <is>
          <t>Easy</t>
        </is>
      </c>
      <c r="F656" t="n">
        <v>14</v>
      </c>
      <c r="G656" t="inlineStr">
        <is>
          <t>Bit Manipulation</t>
        </is>
      </c>
      <c r="H656" t="inlineStr">
        <is>
          <t>Basic Bit Concepts</t>
        </is>
      </c>
      <c r="I656" t="inlineStr">
        <is>
          <t>Leetcode</t>
        </is>
      </c>
      <c r="J656" t="inlineStr">
        <is>
          <t>Problem</t>
        </is>
      </c>
    </row>
    <row r="657">
      <c r="A657" t="n">
        <v>438</v>
      </c>
      <c r="B657" t="inlineStr">
        <is>
          <t>Counting Bits</t>
        </is>
      </c>
      <c r="C657">
        <f>HYPERLINK("https://leetcode.com/problems/counting-bits/","counting-bits")</f>
        <v/>
      </c>
      <c r="D657" t="inlineStr">
        <is>
          <t>-</t>
        </is>
      </c>
      <c r="E657" t="inlineStr">
        <is>
          <t>Easy</t>
        </is>
      </c>
      <c r="F657" t="n">
        <v>14</v>
      </c>
      <c r="G657" t="inlineStr">
        <is>
          <t>Bit Manipulation</t>
        </is>
      </c>
      <c r="H657" t="inlineStr">
        <is>
          <t>Basic Bit Concepts</t>
        </is>
      </c>
      <c r="I657" t="inlineStr">
        <is>
          <t>Leetcode</t>
        </is>
      </c>
      <c r="J657" t="inlineStr">
        <is>
          <t>Problem</t>
        </is>
      </c>
    </row>
    <row r="658">
      <c r="A658" t="n">
        <v>1467</v>
      </c>
      <c r="B658" t="inlineStr">
        <is>
          <t>Count Total Set Bits</t>
        </is>
      </c>
      <c r="C658">
        <f>HYPERLINK("https://www.geeksforgeeks.org/problems/count-total-set-bits-1587115620/1","Solve Problem")</f>
        <v/>
      </c>
      <c r="D658" t="inlineStr">
        <is>
          <t>-</t>
        </is>
      </c>
      <c r="E658" t="inlineStr">
        <is>
          <t>Medium</t>
        </is>
      </c>
      <c r="F658" t="n">
        <v>14</v>
      </c>
      <c r="G658" t="inlineStr">
        <is>
          <t>Bit Manipulation</t>
        </is>
      </c>
      <c r="H658" t="inlineStr">
        <is>
          <t>Basic Bit Concepts</t>
        </is>
      </c>
      <c r="I658" t="inlineStr">
        <is>
          <t>Geeksforgeeks</t>
        </is>
      </c>
      <c r="J658" t="inlineStr">
        <is>
          <t>Problem</t>
        </is>
      </c>
    </row>
    <row r="659">
      <c r="A659" t="n">
        <v>651</v>
      </c>
      <c r="B659" t="inlineStr">
        <is>
          <t>Reverse Bits</t>
        </is>
      </c>
      <c r="C659">
        <f>HYPERLINK("https://leetcode.com/problems/reverse-bits/","reverse-bits")</f>
        <v/>
      </c>
      <c r="D659" t="inlineStr">
        <is>
          <t>-</t>
        </is>
      </c>
      <c r="E659" t="inlineStr">
        <is>
          <t>Easy</t>
        </is>
      </c>
      <c r="F659" t="n">
        <v>14</v>
      </c>
      <c r="G659" t="inlineStr">
        <is>
          <t>Bit Manipulation</t>
        </is>
      </c>
      <c r="H659" t="inlineStr">
        <is>
          <t>Basic Bit Concepts</t>
        </is>
      </c>
      <c r="I659" t="inlineStr">
        <is>
          <t>Leetcode</t>
        </is>
      </c>
      <c r="J659" t="inlineStr">
        <is>
          <t>Problem</t>
        </is>
      </c>
    </row>
    <row r="660">
      <c r="A660" t="n">
        <v>807</v>
      </c>
      <c r="B660" t="inlineStr">
        <is>
          <t>Power of Two</t>
        </is>
      </c>
      <c r="C660">
        <f>HYPERLINK("https://leetcode.com/problems/power-of-two/","power-of-two")</f>
        <v/>
      </c>
      <c r="D660" t="inlineStr">
        <is>
          <t>-</t>
        </is>
      </c>
      <c r="E660" t="inlineStr">
        <is>
          <t>Easy</t>
        </is>
      </c>
      <c r="F660" t="n">
        <v>14</v>
      </c>
      <c r="G660" t="inlineStr">
        <is>
          <t>Bit Manipulation</t>
        </is>
      </c>
      <c r="H660" t="inlineStr">
        <is>
          <t>Basic Bit Concepts</t>
        </is>
      </c>
      <c r="I660" t="inlineStr">
        <is>
          <t>Leetcode</t>
        </is>
      </c>
      <c r="J660" t="inlineStr">
        <is>
          <t>Problem</t>
        </is>
      </c>
    </row>
    <row r="661">
      <c r="A661" t="n">
        <v>603</v>
      </c>
      <c r="B661" t="inlineStr">
        <is>
          <t>Power of Four</t>
        </is>
      </c>
      <c r="C661">
        <f>HYPERLINK("https://leetcode.com/problems/power-of-four","power-of-four")</f>
        <v/>
      </c>
      <c r="D661" t="inlineStr">
        <is>
          <t>-</t>
        </is>
      </c>
      <c r="E661" t="inlineStr">
        <is>
          <t>Easy</t>
        </is>
      </c>
      <c r="F661" t="n">
        <v>14</v>
      </c>
      <c r="G661" t="inlineStr">
        <is>
          <t>Bit Manipulation</t>
        </is>
      </c>
      <c r="H661" t="inlineStr">
        <is>
          <t>Basic Bit Concepts</t>
        </is>
      </c>
      <c r="I661" t="inlineStr">
        <is>
          <t>Leetcode</t>
        </is>
      </c>
      <c r="J661" t="inlineStr">
        <is>
          <t>Problem</t>
        </is>
      </c>
    </row>
    <row r="662">
      <c r="A662" t="n">
        <v>471</v>
      </c>
      <c r="B662" t="inlineStr">
        <is>
          <t>Hamming Distance</t>
        </is>
      </c>
      <c r="C662">
        <f>HYPERLINK("https://leetcode.com/problems/hamming-distance/","hamming-distance")</f>
        <v/>
      </c>
      <c r="D662" t="inlineStr">
        <is>
          <t>-</t>
        </is>
      </c>
      <c r="E662" t="inlineStr">
        <is>
          <t>Easy</t>
        </is>
      </c>
      <c r="F662" t="n">
        <v>14</v>
      </c>
      <c r="G662" t="inlineStr">
        <is>
          <t>Bit Manipulation</t>
        </is>
      </c>
      <c r="H662" t="inlineStr">
        <is>
          <t>Basic Bit Concepts</t>
        </is>
      </c>
      <c r="I662" t="inlineStr">
        <is>
          <t>Leetcode</t>
        </is>
      </c>
      <c r="J662" t="inlineStr">
        <is>
          <t>Problem</t>
        </is>
      </c>
    </row>
    <row r="663">
      <c r="A663" t="n">
        <v>28</v>
      </c>
      <c r="B663" t="inlineStr">
        <is>
          <t>Add Binary</t>
        </is>
      </c>
      <c r="C663">
        <f>HYPERLINK("https://leetcode.com/problems/add-binary/","add-binary")</f>
        <v/>
      </c>
      <c r="D663" t="inlineStr">
        <is>
          <t>-</t>
        </is>
      </c>
      <c r="E663" t="inlineStr">
        <is>
          <t>Easy</t>
        </is>
      </c>
      <c r="F663" t="n">
        <v>14</v>
      </c>
      <c r="G663" t="inlineStr">
        <is>
          <t>Bit Manipulation</t>
        </is>
      </c>
      <c r="H663" t="inlineStr">
        <is>
          <t>Basic Bit Concepts</t>
        </is>
      </c>
      <c r="I663" t="inlineStr">
        <is>
          <t>Leetcode</t>
        </is>
      </c>
      <c r="J663" t="inlineStr">
        <is>
          <t>Problem</t>
        </is>
      </c>
    </row>
    <row r="664">
      <c r="A664" t="n">
        <v>749</v>
      </c>
      <c r="B664" t="inlineStr">
        <is>
          <t>Total Hamming Distance</t>
        </is>
      </c>
      <c r="C664">
        <f>HYPERLINK("https://leetcode.com/problems/total-hamming-distance/","total-hamming-distance")</f>
        <v/>
      </c>
      <c r="D664" t="inlineStr">
        <is>
          <t>-</t>
        </is>
      </c>
      <c r="E664" t="inlineStr">
        <is>
          <t>Medium</t>
        </is>
      </c>
      <c r="F664" t="n">
        <v>14</v>
      </c>
      <c r="G664" t="inlineStr">
        <is>
          <t>Bit Manipulation</t>
        </is>
      </c>
      <c r="H664" t="inlineStr">
        <is>
          <t>Basic Bit Concepts</t>
        </is>
      </c>
      <c r="I664" t="inlineStr">
        <is>
          <t>Leetcode</t>
        </is>
      </c>
      <c r="J664" t="inlineStr">
        <is>
          <t>Problem</t>
        </is>
      </c>
    </row>
    <row r="665">
      <c r="A665" t="n">
        <v>763</v>
      </c>
      <c r="B665" t="inlineStr">
        <is>
          <t>UTF-8 Validation</t>
        </is>
      </c>
      <c r="C665">
        <f>HYPERLINK("https://leetcode.com/problems/utf-8-validation","utf-8-validation")</f>
        <v/>
      </c>
      <c r="D665" t="inlineStr">
        <is>
          <t>-</t>
        </is>
      </c>
      <c r="E665" t="inlineStr">
        <is>
          <t>Easy</t>
        </is>
      </c>
      <c r="F665" t="n">
        <v>14</v>
      </c>
      <c r="G665" t="inlineStr">
        <is>
          <t>Bit Manipulation</t>
        </is>
      </c>
      <c r="H665" t="inlineStr">
        <is>
          <t>Basic Bit Concepts</t>
        </is>
      </c>
      <c r="I665" t="inlineStr">
        <is>
          <t>Leetcode</t>
        </is>
      </c>
      <c r="J665" t="inlineStr">
        <is>
          <t>Problem</t>
        </is>
      </c>
    </row>
    <row r="666">
      <c r="A666" t="n">
        <v>5</v>
      </c>
      <c r="B666" t="inlineStr">
        <is>
          <t>Single Number II</t>
        </is>
      </c>
      <c r="C666">
        <f>HYPERLINK("https://leetcode.com/problems/single-number-ii/","single-number-ii")</f>
        <v/>
      </c>
      <c r="D666" t="inlineStr">
        <is>
          <t>-</t>
        </is>
      </c>
      <c r="E666" t="inlineStr">
        <is>
          <t>Medium</t>
        </is>
      </c>
      <c r="F666" t="n">
        <v>14</v>
      </c>
      <c r="G666" t="inlineStr">
        <is>
          <t>Bit Manipulation</t>
        </is>
      </c>
      <c r="H666" t="inlineStr">
        <is>
          <t>Basic Bit Concepts</t>
        </is>
      </c>
      <c r="I666" t="inlineStr">
        <is>
          <t>Leetcode</t>
        </is>
      </c>
      <c r="J666" t="inlineStr">
        <is>
          <t>Problem</t>
        </is>
      </c>
    </row>
    <row r="667">
      <c r="A667" t="n">
        <v>149</v>
      </c>
      <c r="B667" t="inlineStr">
        <is>
          <t>Divide Two Integers</t>
        </is>
      </c>
      <c r="C667">
        <f>HYPERLINK("https://leetcode.com/problems/divide-two-integers/","divide-two-integers")</f>
        <v/>
      </c>
      <c r="D667" t="inlineStr">
        <is>
          <t>-</t>
        </is>
      </c>
      <c r="E667" t="inlineStr">
        <is>
          <t>Medium</t>
        </is>
      </c>
      <c r="F667" t="n">
        <v>14</v>
      </c>
      <c r="G667" t="inlineStr">
        <is>
          <t>Bit Manipulation</t>
        </is>
      </c>
      <c r="H667" t="inlineStr">
        <is>
          <t>Basic Bit Concepts</t>
        </is>
      </c>
      <c r="I667" t="inlineStr">
        <is>
          <t>Leetcode</t>
        </is>
      </c>
      <c r="J667" t="inlineStr">
        <is>
          <t>Problem</t>
        </is>
      </c>
    </row>
    <row r="668">
      <c r="A668" t="n">
        <v>132</v>
      </c>
      <c r="B668" t="inlineStr">
        <is>
          <t>Decode Xored Array</t>
        </is>
      </c>
      <c r="C668">
        <f>HYPERLINK("https://leetcode.com/problems/decode-xored-array","decode-xored-array")</f>
        <v/>
      </c>
      <c r="D668" t="inlineStr">
        <is>
          <t>-</t>
        </is>
      </c>
      <c r="E668" t="inlineStr">
        <is>
          <t>Easy</t>
        </is>
      </c>
      <c r="F668" t="n">
        <v>14</v>
      </c>
      <c r="G668" t="inlineStr">
        <is>
          <t>Bit Manipulation</t>
        </is>
      </c>
      <c r="H668" t="inlineStr">
        <is>
          <t>Bitwise XOR operator</t>
        </is>
      </c>
      <c r="I668" t="inlineStr">
        <is>
          <t>Leetcode</t>
        </is>
      </c>
      <c r="J668" t="inlineStr">
        <is>
          <t>Problem</t>
        </is>
      </c>
    </row>
    <row r="669">
      <c r="A669" t="n">
        <v>691</v>
      </c>
      <c r="B669" t="inlineStr">
        <is>
          <t>Single Number</t>
        </is>
      </c>
      <c r="C669">
        <f>HYPERLINK("https://leetcode.com/problems/single-number/","single-number")</f>
        <v/>
      </c>
      <c r="D669" t="inlineStr">
        <is>
          <t>-</t>
        </is>
      </c>
      <c r="E669" t="inlineStr">
        <is>
          <t>Easy</t>
        </is>
      </c>
      <c r="F669" t="n">
        <v>14</v>
      </c>
      <c r="G669" t="inlineStr">
        <is>
          <t>Bit Manipulation</t>
        </is>
      </c>
      <c r="H669" t="inlineStr">
        <is>
          <t>Bitwise XOR operator</t>
        </is>
      </c>
      <c r="I669" t="inlineStr">
        <is>
          <t>Leetcode</t>
        </is>
      </c>
      <c r="J669" t="inlineStr">
        <is>
          <t>Problem</t>
        </is>
      </c>
    </row>
    <row r="670">
      <c r="A670" t="n">
        <v>692</v>
      </c>
      <c r="B670" t="inlineStr">
        <is>
          <t>Single Number III</t>
        </is>
      </c>
      <c r="C670">
        <f>HYPERLINK("https://leetcode.com/problems/single-number-iii/","single-number-iii")</f>
        <v/>
      </c>
      <c r="D670" t="inlineStr">
        <is>
          <t>-</t>
        </is>
      </c>
      <c r="E670" t="inlineStr">
        <is>
          <t>Medium</t>
        </is>
      </c>
      <c r="F670" t="n">
        <v>14</v>
      </c>
      <c r="G670" t="inlineStr">
        <is>
          <t>Bit Manipulation</t>
        </is>
      </c>
      <c r="H670" t="inlineStr">
        <is>
          <t>Bitwise XOR operator</t>
        </is>
      </c>
      <c r="I670" t="inlineStr">
        <is>
          <t>Leetcode</t>
        </is>
      </c>
      <c r="J670" t="inlineStr">
        <is>
          <t>Problem</t>
        </is>
      </c>
    </row>
    <row r="671">
      <c r="A671" t="n">
        <v>734</v>
      </c>
      <c r="B671" t="inlineStr">
        <is>
          <t>Sum of Two Integers</t>
        </is>
      </c>
      <c r="C671">
        <f>HYPERLINK("https://leetcode.com/problems/sum-of-two-integers/description/","sum-of-two-integers")</f>
        <v/>
      </c>
      <c r="D671" t="inlineStr">
        <is>
          <t>-</t>
        </is>
      </c>
      <c r="E671" t="inlineStr">
        <is>
          <t>Medium</t>
        </is>
      </c>
      <c r="F671" t="n">
        <v>14</v>
      </c>
      <c r="G671" t="inlineStr">
        <is>
          <t>Bit Manipulation</t>
        </is>
      </c>
      <c r="H671" t="inlineStr">
        <is>
          <t>Bitwise XOR operator</t>
        </is>
      </c>
      <c r="I671" t="inlineStr">
        <is>
          <t>Leetcode</t>
        </is>
      </c>
      <c r="J671" t="inlineStr">
        <is>
          <t>Problem</t>
        </is>
      </c>
    </row>
    <row r="672">
      <c r="A672" t="n">
        <v>1513</v>
      </c>
      <c r="B672" t="inlineStr">
        <is>
          <t>Swap Two Numbers (with Temp Variable)</t>
        </is>
      </c>
      <c r="C672">
        <f>HYPERLINK("https://www.geeksforgeeks.org/problems/swap-two-numbers3844/1","Solve Problem")</f>
        <v/>
      </c>
      <c r="D672" t="inlineStr">
        <is>
          <t>-</t>
        </is>
      </c>
      <c r="E672" t="inlineStr">
        <is>
          <t>Easy</t>
        </is>
      </c>
      <c r="F672" t="n">
        <v>14</v>
      </c>
      <c r="G672" t="inlineStr">
        <is>
          <t>Bit Manipulation</t>
        </is>
      </c>
      <c r="H672" t="inlineStr">
        <is>
          <t>Bitwise XOR operator</t>
        </is>
      </c>
      <c r="I672" t="inlineStr">
        <is>
          <t>Geeksforgeeks</t>
        </is>
      </c>
      <c r="J672" t="inlineStr">
        <is>
          <t>Problem</t>
        </is>
      </c>
    </row>
    <row r="673">
      <c r="A673" t="n">
        <v>533</v>
      </c>
      <c r="B673" t="inlineStr">
        <is>
          <t>Missing Number</t>
        </is>
      </c>
      <c r="C673">
        <f>HYPERLINK("https://leetcode.com/problems/missing-number/description/","missing-number")</f>
        <v/>
      </c>
      <c r="D673" t="inlineStr">
        <is>
          <t>-</t>
        </is>
      </c>
      <c r="E673" t="inlineStr">
        <is>
          <t>Easy</t>
        </is>
      </c>
      <c r="F673" t="n">
        <v>14</v>
      </c>
      <c r="G673" t="inlineStr">
        <is>
          <t>Bit Manipulation</t>
        </is>
      </c>
      <c r="H673" t="inlineStr">
        <is>
          <t>Bitwise XOR operator</t>
        </is>
      </c>
      <c r="I673" t="inlineStr">
        <is>
          <t>Leetcode</t>
        </is>
      </c>
      <c r="J673" t="inlineStr">
        <is>
          <t>Problem</t>
        </is>
      </c>
    </row>
    <row r="674">
      <c r="A674" t="n">
        <v>133</v>
      </c>
      <c r="B674" t="inlineStr">
        <is>
          <t>Decode Xored Permutation</t>
        </is>
      </c>
      <c r="C674">
        <f>HYPERLINK("https://leetcode.com/problems/decode-xored-permutation","decode-xored-permutation")</f>
        <v/>
      </c>
      <c r="D674" t="inlineStr">
        <is>
          <t>-</t>
        </is>
      </c>
      <c r="E674" t="inlineStr">
        <is>
          <t>Easy</t>
        </is>
      </c>
      <c r="F674" t="n">
        <v>14</v>
      </c>
      <c r="G674" t="inlineStr">
        <is>
          <t>Bit Manipulation</t>
        </is>
      </c>
      <c r="H674" t="inlineStr">
        <is>
          <t>Bitwise XOR operator</t>
        </is>
      </c>
      <c r="I674" t="inlineStr">
        <is>
          <t>Leetcode</t>
        </is>
      </c>
      <c r="J674" t="inlineStr">
        <is>
          <t>Problem</t>
        </is>
      </c>
    </row>
    <row r="675">
      <c r="A675" t="n">
        <v>193</v>
      </c>
      <c r="B675" t="inlineStr">
        <is>
          <t>Find the Original Array of Prefix XOR</t>
        </is>
      </c>
      <c r="C675">
        <f>HYPERLINK("https://leetcode.com/problems/find-the-original-array-of-prefix-xor","find-the-original-array-of-prefix-xor")</f>
        <v/>
      </c>
      <c r="D675" t="inlineStr">
        <is>
          <t>-</t>
        </is>
      </c>
      <c r="E675" t="inlineStr">
        <is>
          <t>Medium</t>
        </is>
      </c>
      <c r="F675" t="n">
        <v>14</v>
      </c>
      <c r="G675" t="inlineStr">
        <is>
          <t>Bit Manipulation</t>
        </is>
      </c>
      <c r="H675" t="inlineStr">
        <is>
          <t>Bitwise XOR operator</t>
        </is>
      </c>
      <c r="I675" t="inlineStr">
        <is>
          <t>Leetcode</t>
        </is>
      </c>
      <c r="J675" t="inlineStr">
        <is>
          <t>Problem</t>
        </is>
      </c>
    </row>
    <row r="676">
      <c r="A676" t="n">
        <v>470</v>
      </c>
      <c r="B676" t="inlineStr">
        <is>
          <t>Gray Code</t>
        </is>
      </c>
      <c r="C676">
        <f>HYPERLINK("https://leetcode.com/problems/gray-code/","gray-code")</f>
        <v/>
      </c>
      <c r="D676" t="inlineStr">
        <is>
          <t>-</t>
        </is>
      </c>
      <c r="E676" t="inlineStr">
        <is>
          <t>Medium</t>
        </is>
      </c>
      <c r="F676" t="n">
        <v>14</v>
      </c>
      <c r="G676" t="inlineStr">
        <is>
          <t>Bit Manipulation</t>
        </is>
      </c>
      <c r="H676" t="inlineStr">
        <is>
          <t>Bitwise XOR operator</t>
        </is>
      </c>
      <c r="I676" t="inlineStr">
        <is>
          <t>Leetcode</t>
        </is>
      </c>
      <c r="J676" t="inlineStr">
        <is>
          <t>Problem</t>
        </is>
      </c>
    </row>
    <row r="677">
      <c r="A677" t="n">
        <v>784</v>
      </c>
      <c r="B677" t="inlineStr">
        <is>
          <t>XOR Queries of a Subarray</t>
        </is>
      </c>
      <c r="C677">
        <f>HYPERLINK("https://leetcode.com/problems/xor-queries-of-a-subarray/","xor-queries-of-a-subarray")</f>
        <v/>
      </c>
      <c r="D677" t="inlineStr">
        <is>
          <t>-</t>
        </is>
      </c>
      <c r="E677" t="inlineStr">
        <is>
          <t>Medium</t>
        </is>
      </c>
      <c r="F677" t="n">
        <v>14</v>
      </c>
      <c r="G677" t="inlineStr">
        <is>
          <t>Bit Manipulation</t>
        </is>
      </c>
      <c r="H677" t="inlineStr">
        <is>
          <t>Bitwise XOR operator</t>
        </is>
      </c>
      <c r="I677" t="inlineStr">
        <is>
          <t>Leetcode</t>
        </is>
      </c>
      <c r="J677" t="inlineStr">
        <is>
          <t>Problem</t>
        </is>
      </c>
    </row>
    <row r="678">
      <c r="A678" t="n">
        <v>1422</v>
      </c>
      <c r="B678" t="inlineStr">
        <is>
          <t>XOR Sequences</t>
        </is>
      </c>
      <c r="C678">
        <f>HYPERLINK("https://codeforces.com/problemset/problem/1979/B","Solve Problem")</f>
        <v/>
      </c>
      <c r="D678" t="inlineStr">
        <is>
          <t>-</t>
        </is>
      </c>
      <c r="E678" t="inlineStr">
        <is>
          <t>Medium</t>
        </is>
      </c>
      <c r="F678" t="n">
        <v>14</v>
      </c>
      <c r="G678" t="inlineStr">
        <is>
          <t>Bit Manipulation</t>
        </is>
      </c>
      <c r="H678" t="inlineStr">
        <is>
          <t>Bitwise XOR operator</t>
        </is>
      </c>
      <c r="I678" t="inlineStr">
        <is>
          <t>Codeforces</t>
        </is>
      </c>
      <c r="J678" t="inlineStr">
        <is>
          <t>Problem</t>
        </is>
      </c>
    </row>
    <row r="679">
      <c r="A679" t="n">
        <v>401</v>
      </c>
      <c r="B679" t="inlineStr">
        <is>
          <t>Minimum Number of Operations to Make Array XOR Equal to K</t>
        </is>
      </c>
      <c r="C679">
        <f>HYPERLINK("https://leetcode.com/problems/minimum-number-of-operations-to-make-array-xor-equal-to-k","minimum-number-of-operations-to-make-array-xor-equal-to-k")</f>
        <v/>
      </c>
      <c r="D679" t="inlineStr">
        <is>
          <t>-</t>
        </is>
      </c>
      <c r="E679" t="inlineStr">
        <is>
          <t>Medium</t>
        </is>
      </c>
      <c r="F679" t="n">
        <v>14</v>
      </c>
      <c r="G679" t="inlineStr">
        <is>
          <t>Bit Manipulation</t>
        </is>
      </c>
      <c r="H679" t="inlineStr">
        <is>
          <t>Bitwise XOR operator</t>
        </is>
      </c>
      <c r="I679" t="inlineStr">
        <is>
          <t>Leetcode</t>
        </is>
      </c>
      <c r="J679" t="inlineStr">
        <is>
          <t>Problem</t>
        </is>
      </c>
    </row>
    <row r="680">
      <c r="A680" t="n">
        <v>511</v>
      </c>
      <c r="B680" t="inlineStr">
        <is>
          <t>Maximum XOR Product</t>
        </is>
      </c>
      <c r="C680">
        <f>HYPERLINK("https://leetcode.com/problems/maximum-xor-product","maximum-xor-product")</f>
        <v/>
      </c>
      <c r="D680" t="inlineStr">
        <is>
          <t>-</t>
        </is>
      </c>
      <c r="E680" t="inlineStr">
        <is>
          <t>Medium</t>
        </is>
      </c>
      <c r="F680" t="n">
        <v>14</v>
      </c>
      <c r="G680" t="inlineStr">
        <is>
          <t>Bit Manipulation</t>
        </is>
      </c>
      <c r="H680" t="inlineStr">
        <is>
          <t>Bitwise XOR operator</t>
        </is>
      </c>
      <c r="I680" t="inlineStr">
        <is>
          <t>Leetcode</t>
        </is>
      </c>
      <c r="J680" t="inlineStr">
        <is>
          <t>Problem</t>
        </is>
      </c>
    </row>
    <row r="681">
      <c r="A681" t="n">
        <v>543</v>
      </c>
      <c r="B681" t="inlineStr">
        <is>
          <t>Neighboring Bitwise XOR</t>
        </is>
      </c>
      <c r="C681">
        <f>HYPERLINK("https://leetcode.com/problems/neighboring-bitwise-xor","neighboring-bitwise-xor")</f>
        <v/>
      </c>
      <c r="D681" t="inlineStr">
        <is>
          <t>-</t>
        </is>
      </c>
      <c r="E681" t="inlineStr">
        <is>
          <t>Medium</t>
        </is>
      </c>
      <c r="F681" t="n">
        <v>14</v>
      </c>
      <c r="G681" t="inlineStr">
        <is>
          <t>Bit Manipulation</t>
        </is>
      </c>
      <c r="H681" t="inlineStr">
        <is>
          <t>Bitwise XOR operator</t>
        </is>
      </c>
      <c r="I681" t="inlineStr">
        <is>
          <t>Leetcode</t>
        </is>
      </c>
      <c r="J681" t="inlineStr">
        <is>
          <t>Problem</t>
        </is>
      </c>
    </row>
    <row r="682">
      <c r="A682" t="n">
        <v>532</v>
      </c>
      <c r="B682" t="inlineStr">
        <is>
          <t>Minimum XOR Sum of Two Arrays</t>
        </is>
      </c>
      <c r="C682">
        <f>HYPERLINK("https://leetcode.com/problems/minimum-xor-sum-of-two-arrays/","minimum-xor-sum-of-two-arrays")</f>
        <v/>
      </c>
      <c r="D682" t="inlineStr">
        <is>
          <t>-</t>
        </is>
      </c>
      <c r="E682" t="inlineStr">
        <is>
          <t>Hard</t>
        </is>
      </c>
      <c r="F682" t="n">
        <v>14</v>
      </c>
      <c r="G682" t="inlineStr">
        <is>
          <t>Bit Manipulation</t>
        </is>
      </c>
      <c r="H682" t="inlineStr">
        <is>
          <t>Bitwise XOR operator</t>
        </is>
      </c>
      <c r="I682" t="inlineStr">
        <is>
          <t>Leetcode</t>
        </is>
      </c>
      <c r="J682" t="inlineStr">
        <is>
          <t>Problem</t>
        </is>
      </c>
    </row>
    <row r="683">
      <c r="A683" t="n">
        <v>199</v>
      </c>
      <c r="B683" t="inlineStr">
        <is>
          <t>Find XOR Sum of All Pairs Bitwise AND</t>
        </is>
      </c>
      <c r="C683">
        <f>HYPERLINK("https://leetcode.com/problems/find-xor-sum-of-all-pairs-bitwise-and","find-xor-sum-of-all-pairs-bitwise-and")</f>
        <v/>
      </c>
      <c r="D683" t="inlineStr">
        <is>
          <t>-</t>
        </is>
      </c>
      <c r="E683" t="inlineStr">
        <is>
          <t>Hard</t>
        </is>
      </c>
      <c r="F683" t="n">
        <v>14</v>
      </c>
      <c r="G683" t="inlineStr">
        <is>
          <t>Bit Manipulation</t>
        </is>
      </c>
      <c r="H683" t="inlineStr">
        <is>
          <t>Bitwise XOR operator</t>
        </is>
      </c>
      <c r="I683" t="inlineStr">
        <is>
          <t>Leetcode</t>
        </is>
      </c>
      <c r="J683" t="inlineStr">
        <is>
          <t>Problem</t>
        </is>
      </c>
    </row>
    <row r="684">
      <c r="A684" t="n">
        <v>9</v>
      </c>
      <c r="B684" t="inlineStr">
        <is>
          <t>Find Longest Awesome Substring</t>
        </is>
      </c>
      <c r="C684">
        <f>HYPERLINK("https://leetcode.com/problems/find-longest-awesome-substring","find-longest-awesome-substring")</f>
        <v/>
      </c>
      <c r="D684" t="inlineStr">
        <is>
          <t>-</t>
        </is>
      </c>
      <c r="E684" t="inlineStr">
        <is>
          <t>Hard</t>
        </is>
      </c>
      <c r="F684" t="n">
        <v>14</v>
      </c>
      <c r="G684" t="inlineStr">
        <is>
          <t>Bit Manipulation</t>
        </is>
      </c>
      <c r="H684" t="inlineStr">
        <is>
          <t>Bitwise XOR operator</t>
        </is>
      </c>
      <c r="I684" t="inlineStr">
        <is>
          <t>Leetcode</t>
        </is>
      </c>
      <c r="J684" t="inlineStr">
        <is>
          <t>Problem</t>
        </is>
      </c>
    </row>
    <row r="685">
      <c r="A685" t="n">
        <v>686</v>
      </c>
      <c r="B685" t="inlineStr">
        <is>
          <t>Shortest Subarray with OR at Least K</t>
        </is>
      </c>
      <c r="C685">
        <f>HYPERLINK("https://leetcode.com/problems/shortest-subarray-with-or-at-least-k-ii/","shortest-subarray-with-or-at-least-k-ii")</f>
        <v/>
      </c>
      <c r="D685" t="inlineStr">
        <is>
          <t>-</t>
        </is>
      </c>
      <c r="E685" t="inlineStr">
        <is>
          <t>Medium</t>
        </is>
      </c>
      <c r="F685" t="n">
        <v>14</v>
      </c>
      <c r="G685" t="inlineStr">
        <is>
          <t>Bit Manipulation</t>
        </is>
      </c>
      <c r="H685" t="inlineStr">
        <is>
          <t>Bitwise OR operator</t>
        </is>
      </c>
      <c r="I685" t="inlineStr">
        <is>
          <t>Leetcode</t>
        </is>
      </c>
      <c r="J685" t="inlineStr">
        <is>
          <t>Problem</t>
        </is>
      </c>
    </row>
    <row r="686">
      <c r="A686" t="n">
        <v>518</v>
      </c>
      <c r="B686" t="inlineStr">
        <is>
          <t>Minimum Array End</t>
        </is>
      </c>
      <c r="C686">
        <f>HYPERLINK("https://leetcode.com/problems/minimum-array-end","minimum-array-end")</f>
        <v/>
      </c>
      <c r="D686" t="inlineStr">
        <is>
          <t>-</t>
        </is>
      </c>
      <c r="E686" t="inlineStr">
        <is>
          <t>Medium</t>
        </is>
      </c>
      <c r="F686" t="n">
        <v>14</v>
      </c>
      <c r="G686" t="inlineStr">
        <is>
          <t>Bit Manipulation</t>
        </is>
      </c>
      <c r="H686" t="inlineStr">
        <is>
          <t>Bitwise OR operator</t>
        </is>
      </c>
      <c r="I686" t="inlineStr">
        <is>
          <t>Leetcode</t>
        </is>
      </c>
      <c r="J686" t="inlineStr">
        <is>
          <t>Problem</t>
        </is>
      </c>
    </row>
    <row r="687">
      <c r="A687" t="n">
        <v>334</v>
      </c>
      <c r="B687" t="inlineStr">
        <is>
          <t>Maximum OR</t>
        </is>
      </c>
      <c r="C687">
        <f>HYPERLINK("https://leetcode.com/problems/maximum-or/","maximum-or")</f>
        <v/>
      </c>
      <c r="D687" t="inlineStr">
        <is>
          <t>-</t>
        </is>
      </c>
      <c r="E687" t="inlineStr">
        <is>
          <t>Medium</t>
        </is>
      </c>
      <c r="F687" t="n">
        <v>14</v>
      </c>
      <c r="G687" t="inlineStr">
        <is>
          <t>Bit Manipulation</t>
        </is>
      </c>
      <c r="H687" t="inlineStr">
        <is>
          <t>Bitwise OR operator</t>
        </is>
      </c>
      <c r="I687" t="inlineStr">
        <is>
          <t>Leetcode</t>
        </is>
      </c>
      <c r="J687" t="inlineStr">
        <is>
          <t>Problem</t>
        </is>
      </c>
    </row>
    <row r="688">
      <c r="A688" t="n">
        <v>179</v>
      </c>
      <c r="B688" t="inlineStr">
        <is>
          <t>Find Subarray with Bitwise OR Closest to K</t>
        </is>
      </c>
      <c r="C688">
        <f>HYPERLINK("https://leetcode.com/problems/find-subarray-with-bitwise-or-closest-to-k/","find-subarray-with-bitwise-or-closest-to-k")</f>
        <v/>
      </c>
      <c r="D688" t="inlineStr">
        <is>
          <t>-</t>
        </is>
      </c>
      <c r="E688" t="inlineStr">
        <is>
          <t>Hard</t>
        </is>
      </c>
      <c r="F688" t="n">
        <v>14</v>
      </c>
      <c r="G688" t="inlineStr">
        <is>
          <t>Bit Manipulation</t>
        </is>
      </c>
      <c r="H688" t="inlineStr">
        <is>
          <t>Bitwise OR operator</t>
        </is>
      </c>
      <c r="I688" t="inlineStr">
        <is>
          <t>Leetcode</t>
        </is>
      </c>
      <c r="J688" t="inlineStr">
        <is>
          <t>Problem</t>
        </is>
      </c>
    </row>
    <row r="689">
      <c r="A689" t="n">
        <v>364</v>
      </c>
      <c r="B689" t="inlineStr">
        <is>
          <t>Minimize OR of Remaining Elements Using Operations</t>
        </is>
      </c>
      <c r="C689">
        <f>HYPERLINK("https://leetcode.com/problems/minimize-or-of-remaining-elements-using-operations","minimize-or-of-remaining-elements-using-operations")</f>
        <v/>
      </c>
      <c r="D689" t="inlineStr">
        <is>
          <t>-</t>
        </is>
      </c>
      <c r="E689" t="inlineStr">
        <is>
          <t>Hard</t>
        </is>
      </c>
      <c r="F689" t="n">
        <v>14</v>
      </c>
      <c r="G689" t="inlineStr">
        <is>
          <t>Bit Manipulation</t>
        </is>
      </c>
      <c r="H689" t="inlineStr">
        <is>
          <t>Bitwise OR operator</t>
        </is>
      </c>
      <c r="I689" t="inlineStr">
        <is>
          <t>Leetcode</t>
        </is>
      </c>
      <c r="J689" t="inlineStr">
        <is>
          <t>Problem</t>
        </is>
      </c>
    </row>
    <row r="690">
      <c r="A690" t="n">
        <v>389</v>
      </c>
      <c r="B690" t="inlineStr">
        <is>
          <t>Minimum Flips to Make A or B Equal to C</t>
        </is>
      </c>
      <c r="C690">
        <f>HYPERLINK("https://leetcode.com/problems/minimum-flips-to-make-a-or-b-equal-to-c/","minimum-flips-to-make-a-or-b-equal-to-c")</f>
        <v/>
      </c>
      <c r="D690" t="inlineStr">
        <is>
          <t>-</t>
        </is>
      </c>
      <c r="E690" t="inlineStr">
        <is>
          <t>Medium</t>
        </is>
      </c>
      <c r="F690" t="n">
        <v>14</v>
      </c>
      <c r="G690" t="inlineStr">
        <is>
          <t>Bit Manipulation</t>
        </is>
      </c>
      <c r="H690" t="inlineStr">
        <is>
          <t>Bitwise AND operator</t>
        </is>
      </c>
      <c r="I690" t="inlineStr">
        <is>
          <t>Leetcode</t>
        </is>
      </c>
      <c r="J690" t="inlineStr">
        <is>
          <t>Problem</t>
        </is>
      </c>
    </row>
    <row r="691">
      <c r="A691" t="n">
        <v>262</v>
      </c>
      <c r="B691" t="inlineStr">
        <is>
          <t>Longest Nice Subarray</t>
        </is>
      </c>
      <c r="C691">
        <f>HYPERLINK("https://leetcode.com/problems/longest-nice-subarray/","longest-nice-subarray")</f>
        <v/>
      </c>
      <c r="D691" t="inlineStr">
        <is>
          <t>-</t>
        </is>
      </c>
      <c r="E691" t="inlineStr">
        <is>
          <t>Medium</t>
        </is>
      </c>
      <c r="F691" t="n">
        <v>14</v>
      </c>
      <c r="G691" t="inlineStr">
        <is>
          <t>Bit Manipulation</t>
        </is>
      </c>
      <c r="H691" t="inlineStr">
        <is>
          <t>Bitwise AND operator</t>
        </is>
      </c>
      <c r="I691" t="inlineStr">
        <is>
          <t>Leetcode</t>
        </is>
      </c>
      <c r="J691" t="inlineStr">
        <is>
          <t>Problem</t>
        </is>
      </c>
    </row>
    <row r="692">
      <c r="A692" t="n">
        <v>59</v>
      </c>
      <c r="B692" t="inlineStr">
        <is>
          <t>Bitwise AND of Numbers Range</t>
        </is>
      </c>
      <c r="C692">
        <f>HYPERLINK("https://leetcode.com/problems/bitwise-and-of-numbers-range/","bitwise-and-of-numbers-range")</f>
        <v/>
      </c>
      <c r="D692" t="inlineStr">
        <is>
          <t>-</t>
        </is>
      </c>
      <c r="E692" t="inlineStr">
        <is>
          <t>Medium</t>
        </is>
      </c>
      <c r="F692" t="n">
        <v>14</v>
      </c>
      <c r="G692" t="inlineStr">
        <is>
          <t>Bit Manipulation</t>
        </is>
      </c>
      <c r="H692" t="inlineStr">
        <is>
          <t>Bitwise AND operator</t>
        </is>
      </c>
      <c r="I692" t="inlineStr">
        <is>
          <t>Leetcode</t>
        </is>
      </c>
      <c r="J692" t="inlineStr">
        <is>
          <t>Problem</t>
        </is>
      </c>
    </row>
    <row r="693">
      <c r="A693" t="n">
        <v>268</v>
      </c>
      <c r="B693" t="inlineStr">
        <is>
          <t>Longest Subarray with Maximum Bitwise AND</t>
        </is>
      </c>
      <c r="C693">
        <f>HYPERLINK("https://leetcode.com/problems/longest-subarray-with-maximum-bitwise-and/","longest-subarray-with-maximum-bitwise-and")</f>
        <v/>
      </c>
      <c r="D693" t="inlineStr">
        <is>
          <t>-</t>
        </is>
      </c>
      <c r="E693" t="inlineStr">
        <is>
          <t>Medium</t>
        </is>
      </c>
      <c r="F693" t="n">
        <v>14</v>
      </c>
      <c r="G693" t="inlineStr">
        <is>
          <t>Bit Manipulation</t>
        </is>
      </c>
      <c r="H693" t="inlineStr">
        <is>
          <t>Bitwise AND operator</t>
        </is>
      </c>
      <c r="I693" t="inlineStr">
        <is>
          <t>Leetcode</t>
        </is>
      </c>
      <c r="J693" t="inlineStr">
        <is>
          <t>Problem</t>
        </is>
      </c>
    </row>
    <row r="694">
      <c r="A694" t="n">
        <v>568</v>
      </c>
      <c r="B694" t="inlineStr">
        <is>
          <t>Number of Subarrays with AND Value of K</t>
        </is>
      </c>
      <c r="C694">
        <f>HYPERLINK("https://leetcode.com/problems/number-of-subarrays-with-and-value-of-k/","number-of-subarrays-with-and-value-of-k")</f>
        <v/>
      </c>
      <c r="D694" t="inlineStr">
        <is>
          <t>-</t>
        </is>
      </c>
      <c r="E694" t="inlineStr">
        <is>
          <t>Hard</t>
        </is>
      </c>
      <c r="F694" t="n">
        <v>14</v>
      </c>
      <c r="G694" t="inlineStr">
        <is>
          <t>Bit Manipulation</t>
        </is>
      </c>
      <c r="H694" t="inlineStr">
        <is>
          <t>Bitwise AND operator</t>
        </is>
      </c>
      <c r="I694" t="inlineStr">
        <is>
          <t>Leetcode</t>
        </is>
      </c>
      <c r="J694" t="inlineStr">
        <is>
          <t>Problem</t>
        </is>
      </c>
    </row>
    <row r="695">
      <c r="A695" t="n">
        <v>754</v>
      </c>
      <c r="B695" t="inlineStr">
        <is>
          <t>Triples with Bitwise AND Equal to Zero</t>
        </is>
      </c>
      <c r="C695">
        <f>HYPERLINK("https://leetcode.com/problems/triples-with-bitwise-and-equal-to-zero","triples-with-bitwise-and-equal-to-zero")</f>
        <v/>
      </c>
      <c r="D695" t="inlineStr">
        <is>
          <t>-</t>
        </is>
      </c>
      <c r="E695" t="inlineStr">
        <is>
          <t>Hard</t>
        </is>
      </c>
      <c r="F695" t="n">
        <v>14</v>
      </c>
      <c r="G695" t="inlineStr">
        <is>
          <t>Bit Manipulation</t>
        </is>
      </c>
      <c r="H695" t="inlineStr">
        <is>
          <t>Bitwise AND operator</t>
        </is>
      </c>
      <c r="I695" t="inlineStr">
        <is>
          <t>Leetcode</t>
        </is>
      </c>
      <c r="J695" t="inlineStr">
        <is>
          <t>Problem</t>
        </is>
      </c>
    </row>
    <row r="696">
      <c r="A696" t="n">
        <v>525</v>
      </c>
      <c r="B696" t="inlineStr">
        <is>
          <t>Minimum Operations to Form Subsequence with Target Sum</t>
        </is>
      </c>
      <c r="C696">
        <f>HYPERLINK("https://leetcode.com/problems/minimum-operations-to-form-subsequence-with-target-sum","minimum-operations-to-form-subsequence-with-target-sum")</f>
        <v/>
      </c>
      <c r="D696" t="inlineStr">
        <is>
          <t>-</t>
        </is>
      </c>
      <c r="E696" t="inlineStr">
        <is>
          <t>Hard</t>
        </is>
      </c>
      <c r="F696" t="n">
        <v>14</v>
      </c>
      <c r="G696" t="inlineStr">
        <is>
          <t>Bit Manipulation</t>
        </is>
      </c>
      <c r="H696" t="inlineStr">
        <is>
          <t>Bitwise AND operator</t>
        </is>
      </c>
      <c r="I696" t="inlineStr">
        <is>
          <t>Leetcode</t>
        </is>
      </c>
      <c r="J696" t="inlineStr">
        <is>
          <t>Problem</t>
        </is>
      </c>
    </row>
    <row r="697">
      <c r="A697" t="n">
        <v>807</v>
      </c>
      <c r="B697" t="inlineStr">
        <is>
          <t>Power of Two</t>
        </is>
      </c>
      <c r="C697">
        <f>HYPERLINK("https://leetcode.com/problems/power-of-two/","power-of-two")</f>
        <v/>
      </c>
      <c r="D697" t="inlineStr">
        <is>
          <t>-</t>
        </is>
      </c>
      <c r="E697" t="inlineStr">
        <is>
          <t>Easy</t>
        </is>
      </c>
      <c r="F697" t="n">
        <v>15</v>
      </c>
      <c r="G697" t="inlineStr">
        <is>
          <t>Recursion &amp; Backtracking</t>
        </is>
      </c>
      <c r="H697" t="inlineStr">
        <is>
          <t>Recursion Problems</t>
        </is>
      </c>
      <c r="I697" t="inlineStr">
        <is>
          <t>Leetcode</t>
        </is>
      </c>
      <c r="J697" t="inlineStr">
        <is>
          <t>Problem</t>
        </is>
      </c>
    </row>
    <row r="698">
      <c r="A698" t="n">
        <v>605</v>
      </c>
      <c r="B698" t="inlineStr">
        <is>
          <t>Power of Three</t>
        </is>
      </c>
      <c r="C698">
        <f>HYPERLINK("https://leetcode.com/problems/power-of-three","power-of-three")</f>
        <v/>
      </c>
      <c r="D698" t="inlineStr">
        <is>
          <t>-</t>
        </is>
      </c>
      <c r="E698" t="inlineStr">
        <is>
          <t>Easy</t>
        </is>
      </c>
      <c r="F698" t="n">
        <v>15</v>
      </c>
      <c r="G698" t="inlineStr">
        <is>
          <t>Recursion &amp; Backtracking</t>
        </is>
      </c>
      <c r="H698" t="inlineStr">
        <is>
          <t>Recursion Problems</t>
        </is>
      </c>
      <c r="I698" t="inlineStr">
        <is>
          <t>Leetcode</t>
        </is>
      </c>
      <c r="J698" t="inlineStr">
        <is>
          <t>Problem</t>
        </is>
      </c>
    </row>
    <row r="699">
      <c r="A699" t="n">
        <v>603</v>
      </c>
      <c r="B699" t="inlineStr">
        <is>
          <t>Power of Four</t>
        </is>
      </c>
      <c r="C699">
        <f>HYPERLINK("https://leetcode.com/problems/power-of-four","power-of-four")</f>
        <v/>
      </c>
      <c r="D699" t="inlineStr">
        <is>
          <t>-</t>
        </is>
      </c>
      <c r="E699" t="inlineStr">
        <is>
          <t>Easy</t>
        </is>
      </c>
      <c r="F699" t="n">
        <v>15</v>
      </c>
      <c r="G699" t="inlineStr">
        <is>
          <t>Recursion &amp; Backtracking</t>
        </is>
      </c>
      <c r="H699" t="inlineStr">
        <is>
          <t>Recursion Problems</t>
        </is>
      </c>
      <c r="I699" t="inlineStr">
        <is>
          <t>Leetcode</t>
        </is>
      </c>
      <c r="J699" t="inlineStr">
        <is>
          <t>Problem</t>
        </is>
      </c>
    </row>
    <row r="700">
      <c r="A700" t="n">
        <v>154</v>
      </c>
      <c r="B700" t="inlineStr">
        <is>
          <t>Fibonacci Number</t>
        </is>
      </c>
      <c r="C700">
        <f>HYPERLINK("https://leetcode.com/problems/fibonacci-number","fibonacci-number")</f>
        <v/>
      </c>
      <c r="D700" t="inlineStr">
        <is>
          <t>-</t>
        </is>
      </c>
      <c r="E700" t="inlineStr">
        <is>
          <t>Easy</t>
        </is>
      </c>
      <c r="F700" t="n">
        <v>15</v>
      </c>
      <c r="G700" t="inlineStr">
        <is>
          <t>Recursion &amp; Backtracking</t>
        </is>
      </c>
      <c r="H700" t="inlineStr">
        <is>
          <t>Recursion Problems</t>
        </is>
      </c>
      <c r="I700" t="inlineStr">
        <is>
          <t>Leetcode</t>
        </is>
      </c>
      <c r="J700" t="inlineStr">
        <is>
          <t>Problem</t>
        </is>
      </c>
    </row>
    <row r="701">
      <c r="A701" t="n">
        <v>606</v>
      </c>
      <c r="B701" t="inlineStr">
        <is>
          <t>Pow(x, n)</t>
        </is>
      </c>
      <c r="C701">
        <f>HYPERLINK("https://leetcode.com/problems/powx-n","powx-n")</f>
        <v/>
      </c>
      <c r="D701" t="inlineStr">
        <is>
          <t>-</t>
        </is>
      </c>
      <c r="E701" t="inlineStr">
        <is>
          <t>Medium</t>
        </is>
      </c>
      <c r="F701" t="n">
        <v>15</v>
      </c>
      <c r="G701" t="inlineStr">
        <is>
          <t>Recursion &amp; Backtracking</t>
        </is>
      </c>
      <c r="H701" t="inlineStr">
        <is>
          <t>Recursion Problems</t>
        </is>
      </c>
      <c r="I701" t="inlineStr">
        <is>
          <t>Leetcode</t>
        </is>
      </c>
      <c r="J701" t="inlineStr">
        <is>
          <t>Problem</t>
        </is>
      </c>
    </row>
    <row r="702">
      <c r="A702" t="n">
        <v>865</v>
      </c>
      <c r="B702" t="inlineStr">
        <is>
          <t>Count Good Numbers</t>
        </is>
      </c>
      <c r="C702">
        <f>HYPERLINK("https://leetcode.com/problems/count-good-numbers","count-good-numbers")</f>
        <v/>
      </c>
      <c r="D702" t="inlineStr">
        <is>
          <t>-</t>
        </is>
      </c>
      <c r="E702" t="inlineStr">
        <is>
          <t>Easy</t>
        </is>
      </c>
      <c r="F702" t="n">
        <v>15</v>
      </c>
      <c r="G702" t="inlineStr">
        <is>
          <t>Recursion &amp; Backtracking</t>
        </is>
      </c>
      <c r="H702" t="inlineStr">
        <is>
          <t>Recursion Problems</t>
        </is>
      </c>
      <c r="I702" t="inlineStr">
        <is>
          <t>Leetcode</t>
        </is>
      </c>
      <c r="J702" t="inlineStr">
        <is>
          <t>Problem</t>
        </is>
      </c>
    </row>
    <row r="703">
      <c r="A703" t="n">
        <v>394</v>
      </c>
      <c r="B703" t="inlineStr">
        <is>
          <t>Minimum Non-Zero Product of the Array Elements</t>
        </is>
      </c>
      <c r="C703">
        <f>HYPERLINK("https://leetcode.com/problems/minimum-non-zero-product-of-the-array-elements/","minimum-non-zero-product-of-the-array-elements")</f>
        <v/>
      </c>
      <c r="D703" t="inlineStr">
        <is>
          <t>-</t>
        </is>
      </c>
      <c r="E703" t="inlineStr">
        <is>
          <t>Medium</t>
        </is>
      </c>
      <c r="F703" t="n">
        <v>15</v>
      </c>
      <c r="G703" t="inlineStr">
        <is>
          <t>Recursion &amp; Backtracking</t>
        </is>
      </c>
      <c r="H703" t="inlineStr">
        <is>
          <t>Recursion Problems</t>
        </is>
      </c>
      <c r="I703" t="inlineStr">
        <is>
          <t>Leetcode</t>
        </is>
      </c>
      <c r="J703" t="inlineStr">
        <is>
          <t>Problem</t>
        </is>
      </c>
    </row>
    <row r="704">
      <c r="A704" t="n">
        <v>1468</v>
      </c>
      <c r="B704" t="inlineStr">
        <is>
          <t>Delete Middle Element of a Stack</t>
        </is>
      </c>
      <c r="C704">
        <f>HYPERLINK("https://www.geeksforgeeks.org/problems/delete-middle-element-of-a-stack/1","Solve Problem")</f>
        <v/>
      </c>
      <c r="D704" t="inlineStr">
        <is>
          <t>-</t>
        </is>
      </c>
      <c r="E704" t="inlineStr">
        <is>
          <t>Easy</t>
        </is>
      </c>
      <c r="F704" t="n">
        <v>15</v>
      </c>
      <c r="G704" t="inlineStr">
        <is>
          <t>Recursion &amp; Backtracking</t>
        </is>
      </c>
      <c r="H704" t="inlineStr">
        <is>
          <t>Recursion Problems</t>
        </is>
      </c>
      <c r="I704" t="inlineStr">
        <is>
          <t>Geeksforgeeks</t>
        </is>
      </c>
      <c r="J704" t="inlineStr">
        <is>
          <t>Problem</t>
        </is>
      </c>
    </row>
    <row r="705">
      <c r="A705" t="n">
        <v>1516</v>
      </c>
      <c r="B705" t="inlineStr">
        <is>
          <t>Sort a Stack</t>
        </is>
      </c>
      <c r="C705">
        <f>HYPERLINK("https://www.geeksforgeeks.org/problems/sort-a-stack/1","Solve Problem")</f>
        <v/>
      </c>
      <c r="D705" t="inlineStr">
        <is>
          <t>-</t>
        </is>
      </c>
      <c r="E705" t="inlineStr">
        <is>
          <t>Medium</t>
        </is>
      </c>
      <c r="F705" t="n">
        <v>15</v>
      </c>
      <c r="G705" t="inlineStr">
        <is>
          <t>Recursion &amp; Backtracking</t>
        </is>
      </c>
      <c r="H705" t="inlineStr">
        <is>
          <t>Recursion Problems</t>
        </is>
      </c>
      <c r="I705" t="inlineStr">
        <is>
          <t>Geeksforgeeks</t>
        </is>
      </c>
      <c r="J705" t="inlineStr">
        <is>
          <t>Problem</t>
        </is>
      </c>
    </row>
    <row r="706">
      <c r="A706" t="n">
        <v>1486</v>
      </c>
      <c r="B706" t="inlineStr">
        <is>
          <t>Josephus Problem</t>
        </is>
      </c>
      <c r="C706">
        <f>HYPERLINK("https://www.geeksforgeeks.org/problems/josephus-problem/1","Solve Problem")</f>
        <v/>
      </c>
      <c r="D706" t="inlineStr">
        <is>
          <t>-</t>
        </is>
      </c>
      <c r="E706" t="inlineStr">
        <is>
          <t>Easy</t>
        </is>
      </c>
      <c r="F706" t="n">
        <v>15</v>
      </c>
      <c r="G706" t="inlineStr">
        <is>
          <t>Recursion &amp; Backtracking</t>
        </is>
      </c>
      <c r="H706" t="inlineStr">
        <is>
          <t>Recursion Problems</t>
        </is>
      </c>
      <c r="I706" t="inlineStr">
        <is>
          <t>Geeksforgeeks</t>
        </is>
      </c>
      <c r="J706" t="inlineStr">
        <is>
          <t>Problem</t>
        </is>
      </c>
    </row>
    <row r="707">
      <c r="A707" t="n">
        <v>195</v>
      </c>
      <c r="B707" t="inlineStr">
        <is>
          <t>Find the Winner of the Circular Game</t>
        </is>
      </c>
      <c r="C707">
        <f>HYPERLINK("https://leetcode.com/problems/find-the-winner-of-the-circular-game/","find-the-winner-of-the-circular-game")</f>
        <v/>
      </c>
      <c r="D707" t="inlineStr">
        <is>
          <t>-</t>
        </is>
      </c>
      <c r="E707" t="inlineStr">
        <is>
          <t>Medium</t>
        </is>
      </c>
      <c r="F707" t="n">
        <v>15</v>
      </c>
      <c r="G707" t="inlineStr">
        <is>
          <t>Recursion &amp; Backtracking</t>
        </is>
      </c>
      <c r="H707" t="inlineStr">
        <is>
          <t>Recursion Problems</t>
        </is>
      </c>
      <c r="I707" t="inlineStr">
        <is>
          <t>Leetcode</t>
        </is>
      </c>
      <c r="J707" t="inlineStr">
        <is>
          <t>Problem</t>
        </is>
      </c>
    </row>
    <row r="708">
      <c r="A708" t="n">
        <v>607</v>
      </c>
      <c r="B708" t="inlineStr">
        <is>
          <t>Predict the Winner</t>
        </is>
      </c>
      <c r="C708">
        <f>HYPERLINK("https://leetcode.com/problems/predict-the-winner","predict-the-winner")</f>
        <v/>
      </c>
      <c r="D708" t="inlineStr">
        <is>
          <t>-</t>
        </is>
      </c>
      <c r="E708" t="inlineStr">
        <is>
          <t>Medium</t>
        </is>
      </c>
      <c r="F708" t="n">
        <v>15</v>
      </c>
      <c r="G708" t="inlineStr">
        <is>
          <t>Recursion &amp; Backtracking</t>
        </is>
      </c>
      <c r="H708" t="inlineStr">
        <is>
          <t>Recursion Problems</t>
        </is>
      </c>
      <c r="I708" t="inlineStr">
        <is>
          <t>Leetcode</t>
        </is>
      </c>
      <c r="J708" t="inlineStr">
        <is>
          <t>Problem</t>
        </is>
      </c>
    </row>
    <row r="709">
      <c r="A709" t="n">
        <v>1520</v>
      </c>
      <c r="B709" t="inlineStr">
        <is>
          <t>Tower of Hanoi</t>
        </is>
      </c>
      <c r="C709">
        <f>HYPERLINK("https://www.geeksforgeeks.org/problems/tower-of-hanoi-1587115621/1","Solve Problem")</f>
        <v/>
      </c>
      <c r="D709" t="inlineStr">
        <is>
          <t>-</t>
        </is>
      </c>
      <c r="E709" t="inlineStr">
        <is>
          <t>Medium</t>
        </is>
      </c>
      <c r="F709" t="n">
        <v>15</v>
      </c>
      <c r="G709" t="inlineStr">
        <is>
          <t>Recursion &amp; Backtracking</t>
        </is>
      </c>
      <c r="H709" t="inlineStr">
        <is>
          <t>Recursion Problems</t>
        </is>
      </c>
      <c r="I709" t="inlineStr">
        <is>
          <t>Geeksforgeeks</t>
        </is>
      </c>
      <c r="J709" t="inlineStr">
        <is>
          <t>Problem</t>
        </is>
      </c>
    </row>
    <row r="710">
      <c r="A710" t="n">
        <v>456</v>
      </c>
      <c r="B710" t="inlineStr">
        <is>
          <t>Different Ways to Add Parentheses</t>
        </is>
      </c>
      <c r="C710">
        <f>HYPERLINK("https://leetcode.com/problems/different-ways-to-add-parentheses","different-ways-to-add-parentheses")</f>
        <v/>
      </c>
      <c r="D710" t="inlineStr">
        <is>
          <t>-</t>
        </is>
      </c>
      <c r="E710" t="inlineStr">
        <is>
          <t>Medium</t>
        </is>
      </c>
      <c r="F710" t="n">
        <v>15</v>
      </c>
      <c r="G710" t="inlineStr">
        <is>
          <t>Recursion &amp; Backtracking</t>
        </is>
      </c>
      <c r="H710" t="inlineStr">
        <is>
          <t>Recursion Problems</t>
        </is>
      </c>
      <c r="I710" t="inlineStr">
        <is>
          <t>Leetcode</t>
        </is>
      </c>
      <c r="J710" t="inlineStr">
        <is>
          <t>Problem</t>
        </is>
      </c>
    </row>
    <row r="711">
      <c r="A711" t="n">
        <v>442</v>
      </c>
      <c r="B711" t="inlineStr">
        <is>
          <t>Basic Calculator</t>
        </is>
      </c>
      <c r="C711">
        <f>HYPERLINK("https://leetcode.com/problems/basic-calculator/","basic-calculator")</f>
        <v/>
      </c>
      <c r="D711" t="inlineStr">
        <is>
          <t>-</t>
        </is>
      </c>
      <c r="E711" t="inlineStr">
        <is>
          <t>Hard</t>
        </is>
      </c>
      <c r="F711" t="n">
        <v>15</v>
      </c>
      <c r="G711" t="inlineStr">
        <is>
          <t>Recursion &amp; Backtracking</t>
        </is>
      </c>
      <c r="H711" t="inlineStr">
        <is>
          <t>Recursion Problems</t>
        </is>
      </c>
      <c r="I711" t="inlineStr">
        <is>
          <t>Leetcode</t>
        </is>
      </c>
      <c r="J711" t="inlineStr">
        <is>
          <t>Problem</t>
        </is>
      </c>
    </row>
    <row r="712">
      <c r="A712" t="n">
        <v>598</v>
      </c>
      <c r="B712" t="inlineStr">
        <is>
          <t>Permutation Sequence</t>
        </is>
      </c>
      <c r="C712">
        <f>HYPERLINK("https://leetcode.com/problems/permutation-sequence","permutation-sequence")</f>
        <v/>
      </c>
      <c r="D712" t="inlineStr">
        <is>
          <t>-</t>
        </is>
      </c>
      <c r="E712" t="inlineStr">
        <is>
          <t>Hard</t>
        </is>
      </c>
      <c r="F712" t="n">
        <v>15</v>
      </c>
      <c r="G712" t="inlineStr">
        <is>
          <t>Recursion &amp; Backtracking</t>
        </is>
      </c>
      <c r="H712" t="inlineStr">
        <is>
          <t>Recursion Problems</t>
        </is>
      </c>
      <c r="I712" t="inlineStr">
        <is>
          <t>Leetcode</t>
        </is>
      </c>
      <c r="J712" t="inlineStr">
        <is>
          <t>Problem</t>
        </is>
      </c>
    </row>
    <row r="713">
      <c r="A713" t="n">
        <v>631</v>
      </c>
      <c r="B713" t="inlineStr">
        <is>
          <t>Regular Expression Matching</t>
        </is>
      </c>
      <c r="C713">
        <f>HYPERLINK("https://leetcode.com/problems/regular-expression-matching","regular-expression-matching")</f>
        <v/>
      </c>
      <c r="D713" t="inlineStr">
        <is>
          <t>-</t>
        </is>
      </c>
      <c r="E713" t="inlineStr">
        <is>
          <t>Hard</t>
        </is>
      </c>
      <c r="F713" t="n">
        <v>15</v>
      </c>
      <c r="G713" t="inlineStr">
        <is>
          <t>Recursion &amp; Backtracking</t>
        </is>
      </c>
      <c r="H713" t="inlineStr">
        <is>
          <t>Recursion Problems</t>
        </is>
      </c>
      <c r="I713" t="inlineStr">
        <is>
          <t>Leetcode</t>
        </is>
      </c>
      <c r="J713" t="inlineStr">
        <is>
          <t>Problem</t>
        </is>
      </c>
    </row>
    <row r="714">
      <c r="A714" t="n">
        <v>779</v>
      </c>
      <c r="B714" t="inlineStr">
        <is>
          <t>Wildcard Matching</t>
        </is>
      </c>
      <c r="C714">
        <f>HYPERLINK("https://leetcode.com/problems/wildcard-matching","wildcard-matching")</f>
        <v/>
      </c>
      <c r="D714" t="inlineStr">
        <is>
          <t>-</t>
        </is>
      </c>
      <c r="E714" t="inlineStr">
        <is>
          <t>Hard</t>
        </is>
      </c>
      <c r="F714" t="n">
        <v>15</v>
      </c>
      <c r="G714" t="inlineStr">
        <is>
          <t>Recursion &amp; Backtracking</t>
        </is>
      </c>
      <c r="H714" t="inlineStr">
        <is>
          <t>Recursion Problems</t>
        </is>
      </c>
      <c r="I714" t="inlineStr">
        <is>
          <t>Leetcode</t>
        </is>
      </c>
      <c r="J714" t="inlineStr">
        <is>
          <t>Problem</t>
        </is>
      </c>
    </row>
    <row r="715">
      <c r="A715" t="n">
        <v>217</v>
      </c>
      <c r="B715" t="inlineStr">
        <is>
          <t>Integer to English Words</t>
        </is>
      </c>
      <c r="C715">
        <f>HYPERLINK("https://leetcode.com/problems/integer-to-english-words/description/","integer-to-english-words")</f>
        <v/>
      </c>
      <c r="D715" t="inlineStr">
        <is>
          <t>-</t>
        </is>
      </c>
      <c r="E715" t="inlineStr">
        <is>
          <t>Hard</t>
        </is>
      </c>
      <c r="F715" t="n">
        <v>15</v>
      </c>
      <c r="G715" t="inlineStr">
        <is>
          <t>Recursion &amp; Backtracking</t>
        </is>
      </c>
      <c r="H715" t="inlineStr">
        <is>
          <t>Recursion Problems</t>
        </is>
      </c>
      <c r="I715" t="inlineStr">
        <is>
          <t>Leetcode</t>
        </is>
      </c>
      <c r="J715" t="inlineStr">
        <is>
          <t>Problem</t>
        </is>
      </c>
    </row>
    <row r="716">
      <c r="A716" t="n">
        <v>706</v>
      </c>
      <c r="B716" t="inlineStr">
        <is>
          <t>Special Binary String</t>
        </is>
      </c>
      <c r="C716">
        <f>HYPERLINK("https://leetcode.com/problems/special-binary-string/description/","special-binary-string")</f>
        <v/>
      </c>
      <c r="D716" t="inlineStr">
        <is>
          <t>-</t>
        </is>
      </c>
      <c r="E716" t="inlineStr">
        <is>
          <t>Hard</t>
        </is>
      </c>
      <c r="F716" t="n">
        <v>15</v>
      </c>
      <c r="G716" t="inlineStr">
        <is>
          <t>Recursion &amp; Backtracking</t>
        </is>
      </c>
      <c r="H716" t="inlineStr">
        <is>
          <t>Recursion Problems</t>
        </is>
      </c>
      <c r="I716" t="inlineStr">
        <is>
          <t>Leetcode</t>
        </is>
      </c>
      <c r="J716" t="inlineStr">
        <is>
          <t>Problem</t>
        </is>
      </c>
    </row>
    <row r="717">
      <c r="A717" t="n">
        <v>599</v>
      </c>
      <c r="B717" t="inlineStr">
        <is>
          <t>Permutations</t>
        </is>
      </c>
      <c r="C717">
        <f>HYPERLINK("https://leetcode.com/problems/permutations/","permutations")</f>
        <v/>
      </c>
      <c r="D717" t="inlineStr">
        <is>
          <t>-</t>
        </is>
      </c>
      <c r="E717" t="inlineStr">
        <is>
          <t>Medium</t>
        </is>
      </c>
      <c r="F717" t="n">
        <v>15</v>
      </c>
      <c r="G717" t="inlineStr">
        <is>
          <t>Recursion &amp; Backtracking</t>
        </is>
      </c>
      <c r="H717" t="inlineStr">
        <is>
          <t>Permutation Problems</t>
        </is>
      </c>
      <c r="I717" t="inlineStr">
        <is>
          <t>Leetcode</t>
        </is>
      </c>
      <c r="J717" t="inlineStr">
        <is>
          <t>Problem</t>
        </is>
      </c>
    </row>
    <row r="718">
      <c r="A718" t="n">
        <v>88</v>
      </c>
      <c r="B718" t="inlineStr">
        <is>
          <t>Construct Smallest Number From DI String</t>
        </is>
      </c>
      <c r="C718">
        <f>HYPERLINK("https://leetcode.com/problems/construct-smallest-number-from-di-string/","construct-smallest-number-from-di-string")</f>
        <v/>
      </c>
      <c r="D718" t="inlineStr">
        <is>
          <t>-</t>
        </is>
      </c>
      <c r="E718" t="inlineStr">
        <is>
          <t>Medium</t>
        </is>
      </c>
      <c r="F718" t="n">
        <v>15</v>
      </c>
      <c r="G718" t="inlineStr">
        <is>
          <t>Recursion &amp; Backtracking</t>
        </is>
      </c>
      <c r="H718" t="inlineStr">
        <is>
          <t>Permutation Problems</t>
        </is>
      </c>
      <c r="I718" t="inlineStr">
        <is>
          <t>Leetcode</t>
        </is>
      </c>
      <c r="J718" t="inlineStr">
        <is>
          <t>Problem</t>
        </is>
      </c>
    </row>
    <row r="719">
      <c r="A719" t="n">
        <v>422</v>
      </c>
      <c r="B719" t="inlineStr">
        <is>
          <t>Beautiful Arrangement</t>
        </is>
      </c>
      <c r="C719">
        <f>HYPERLINK("https://leetcode.com/problems/beautiful-arrangement/","beautiful-arrangement")</f>
        <v/>
      </c>
      <c r="D719" t="inlineStr">
        <is>
          <t>-</t>
        </is>
      </c>
      <c r="E719" t="inlineStr">
        <is>
          <t>Medium</t>
        </is>
      </c>
      <c r="F719" t="n">
        <v>15</v>
      </c>
      <c r="G719" t="inlineStr">
        <is>
          <t>Recursion &amp; Backtracking</t>
        </is>
      </c>
      <c r="H719" t="inlineStr">
        <is>
          <t>Permutation Problems</t>
        </is>
      </c>
      <c r="I719" t="inlineStr">
        <is>
          <t>Leetcode</t>
        </is>
      </c>
      <c r="J719" t="inlineStr">
        <is>
          <t>Problem</t>
        </is>
      </c>
    </row>
    <row r="720">
      <c r="A720" t="n">
        <v>818</v>
      </c>
      <c r="B720" t="inlineStr">
        <is>
          <t>Target Sum</t>
        </is>
      </c>
      <c r="C720">
        <f>HYPERLINK("https://leetcode.com/problems/target-sum/","target-sum")</f>
        <v/>
      </c>
      <c r="D720" t="inlineStr">
        <is>
          <t>-</t>
        </is>
      </c>
      <c r="E720" t="inlineStr">
        <is>
          <t>Medium</t>
        </is>
      </c>
      <c r="F720" t="n">
        <v>15</v>
      </c>
      <c r="G720" t="inlineStr">
        <is>
          <t>Recursion &amp; Backtracking</t>
        </is>
      </c>
      <c r="H720" t="inlineStr">
        <is>
          <t>Combination Problems</t>
        </is>
      </c>
      <c r="I720" t="inlineStr">
        <is>
          <t>Leetcode</t>
        </is>
      </c>
      <c r="J720" t="inlineStr">
        <is>
          <t>Problem</t>
        </is>
      </c>
    </row>
    <row r="721">
      <c r="A721" t="n">
        <v>432</v>
      </c>
      <c r="B721" t="inlineStr">
        <is>
          <t>Combinations</t>
        </is>
      </c>
      <c r="C721">
        <f>HYPERLINK("https://leetcode.com/problems/combinations/","combinations")</f>
        <v/>
      </c>
      <c r="D721" t="inlineStr">
        <is>
          <t>-</t>
        </is>
      </c>
      <c r="E721" t="inlineStr">
        <is>
          <t>Medium</t>
        </is>
      </c>
      <c r="F721" t="n">
        <v>15</v>
      </c>
      <c r="G721" t="inlineStr">
        <is>
          <t>Recursion &amp; Backtracking</t>
        </is>
      </c>
      <c r="H721" t="inlineStr">
        <is>
          <t>Combination Problems</t>
        </is>
      </c>
      <c r="I721" t="inlineStr">
        <is>
          <t>Leetcode</t>
        </is>
      </c>
      <c r="J721" t="inlineStr">
        <is>
          <t>Problem</t>
        </is>
      </c>
    </row>
    <row r="722">
      <c r="A722" t="n">
        <v>248</v>
      </c>
      <c r="B722" t="inlineStr">
        <is>
          <t>Letter Combinations of a Phone Number</t>
        </is>
      </c>
      <c r="C722">
        <f>HYPERLINK("https://leetcode.com/problems/letter-combinations-of-a-phone-number/","letter-combinations-of-a-phone-number")</f>
        <v/>
      </c>
      <c r="D722" t="inlineStr">
        <is>
          <t>-</t>
        </is>
      </c>
      <c r="E722" t="inlineStr">
        <is>
          <t>Medium</t>
        </is>
      </c>
      <c r="F722" t="n">
        <v>15</v>
      </c>
      <c r="G722" t="inlineStr">
        <is>
          <t>Recursion &amp; Backtracking</t>
        </is>
      </c>
      <c r="H722" t="inlineStr">
        <is>
          <t>Combination Problems</t>
        </is>
      </c>
      <c r="I722" t="inlineStr">
        <is>
          <t>Leetcode</t>
        </is>
      </c>
      <c r="J722" t="inlineStr">
        <is>
          <t>Problem</t>
        </is>
      </c>
    </row>
    <row r="723">
      <c r="A723" t="n">
        <v>247</v>
      </c>
      <c r="B723" t="inlineStr">
        <is>
          <t>Letter Case Permutation</t>
        </is>
      </c>
      <c r="C723">
        <f>HYPERLINK("https://leetcode.com/problems/letter-case-permutation/","letter-case-permutation")</f>
        <v/>
      </c>
      <c r="D723" t="inlineStr">
        <is>
          <t>-</t>
        </is>
      </c>
      <c r="E723" t="inlineStr">
        <is>
          <t>Medium</t>
        </is>
      </c>
      <c r="F723" t="n">
        <v>15</v>
      </c>
      <c r="G723" t="inlineStr">
        <is>
          <t>Recursion &amp; Backtracking</t>
        </is>
      </c>
      <c r="H723" t="inlineStr">
        <is>
          <t>Combination Problems</t>
        </is>
      </c>
      <c r="I723" t="inlineStr">
        <is>
          <t>Leetcode</t>
        </is>
      </c>
      <c r="J723" t="inlineStr">
        <is>
          <t>Problem</t>
        </is>
      </c>
    </row>
    <row r="724">
      <c r="A724" t="n">
        <v>740</v>
      </c>
      <c r="B724" t="inlineStr">
        <is>
          <t>K-th Lexicographical String of All Happy Strings of Length n</t>
        </is>
      </c>
      <c r="C724">
        <f>HYPERLINK("https://leetcode.com/problems/the-k-th-lexicographical-string-of-all-happy-strings-of-length-n/","the-k-th-lexicographical-string-of-all-happy-strings-of-length-n")</f>
        <v/>
      </c>
      <c r="D724" t="inlineStr">
        <is>
          <t>-</t>
        </is>
      </c>
      <c r="E724" t="inlineStr">
        <is>
          <t>Medium</t>
        </is>
      </c>
      <c r="F724" t="n">
        <v>15</v>
      </c>
      <c r="G724" t="inlineStr">
        <is>
          <t>Recursion &amp; Backtracking</t>
        </is>
      </c>
      <c r="H724" t="inlineStr">
        <is>
          <t>Combination Problems</t>
        </is>
      </c>
      <c r="I724" t="inlineStr">
        <is>
          <t>Leetcode</t>
        </is>
      </c>
      <c r="J724" t="inlineStr">
        <is>
          <t>Problem</t>
        </is>
      </c>
    </row>
    <row r="725">
      <c r="A725" t="n">
        <v>430</v>
      </c>
      <c r="B725" t="inlineStr">
        <is>
          <t>Combination Sum</t>
        </is>
      </c>
      <c r="C725">
        <f>HYPERLINK("https://leetcode.com/problems/combination-sum/","combination-sum")</f>
        <v/>
      </c>
      <c r="D725" t="inlineStr">
        <is>
          <t>-</t>
        </is>
      </c>
      <c r="E725" t="inlineStr">
        <is>
          <t>Medium</t>
        </is>
      </c>
      <c r="F725" t="n">
        <v>15</v>
      </c>
      <c r="G725" t="inlineStr">
        <is>
          <t>Recursion &amp; Backtracking</t>
        </is>
      </c>
      <c r="H725" t="inlineStr">
        <is>
          <t>Combination Problems</t>
        </is>
      </c>
      <c r="I725" t="inlineStr">
        <is>
          <t>Leetcode</t>
        </is>
      </c>
      <c r="J725" t="inlineStr">
        <is>
          <t>Problem</t>
        </is>
      </c>
    </row>
    <row r="726">
      <c r="A726" t="n">
        <v>83</v>
      </c>
      <c r="B726" t="inlineStr">
        <is>
          <t>Combination Sum II</t>
        </is>
      </c>
      <c r="C726">
        <f>HYPERLINK("https://leetcode.com/problems/combination-sum-ii/","combination-sum-ii")</f>
        <v/>
      </c>
      <c r="D726" t="inlineStr">
        <is>
          <t>-</t>
        </is>
      </c>
      <c r="E726" t="inlineStr">
        <is>
          <t>Medium</t>
        </is>
      </c>
      <c r="F726" t="n">
        <v>15</v>
      </c>
      <c r="G726" t="inlineStr">
        <is>
          <t>Recursion &amp; Backtracking</t>
        </is>
      </c>
      <c r="H726" t="inlineStr">
        <is>
          <t>Combination Problems</t>
        </is>
      </c>
      <c r="I726" t="inlineStr">
        <is>
          <t>Leetcode</t>
        </is>
      </c>
      <c r="J726" t="inlineStr">
        <is>
          <t>Problem</t>
        </is>
      </c>
    </row>
    <row r="727">
      <c r="A727" t="n">
        <v>84</v>
      </c>
      <c r="B727" t="inlineStr">
        <is>
          <t>Combination Sum III</t>
        </is>
      </c>
      <c r="C727">
        <f>HYPERLINK("https://leetcode.com/problems/combination-sum-iii/","combination-sum-iii")</f>
        <v/>
      </c>
      <c r="D727" t="inlineStr">
        <is>
          <t>-</t>
        </is>
      </c>
      <c r="E727" t="inlineStr">
        <is>
          <t>Medium</t>
        </is>
      </c>
      <c r="F727" t="n">
        <v>15</v>
      </c>
      <c r="G727" t="inlineStr">
        <is>
          <t>Recursion &amp; Backtracking</t>
        </is>
      </c>
      <c r="H727" t="inlineStr">
        <is>
          <t>Combination Problems</t>
        </is>
      </c>
      <c r="I727" t="inlineStr">
        <is>
          <t>Leetcode</t>
        </is>
      </c>
      <c r="J727" t="inlineStr">
        <is>
          <t>Problem</t>
        </is>
      </c>
    </row>
    <row r="728">
      <c r="A728" t="n">
        <v>486</v>
      </c>
      <c r="B728" t="inlineStr">
        <is>
          <t>Maximum Compatibility Score Sum</t>
        </is>
      </c>
      <c r="C728">
        <f>HYPERLINK("https://leetcode.com/problems/maximum-compatibility-score-sum/","maximum-compatibility-score-sum")</f>
        <v/>
      </c>
      <c r="D728" t="inlineStr">
        <is>
          <t>-</t>
        </is>
      </c>
      <c r="E728" t="inlineStr">
        <is>
          <t>Medium</t>
        </is>
      </c>
      <c r="F728" t="n">
        <v>15</v>
      </c>
      <c r="G728" t="inlineStr">
        <is>
          <t>Recursion &amp; Backtracking</t>
        </is>
      </c>
      <c r="H728" t="inlineStr">
        <is>
          <t>Combination Problems</t>
        </is>
      </c>
      <c r="I728" t="inlineStr">
        <is>
          <t>Leetcode</t>
        </is>
      </c>
      <c r="J728" t="inlineStr">
        <is>
          <t>Problem</t>
        </is>
      </c>
    </row>
    <row r="729">
      <c r="A729" t="n">
        <v>579</v>
      </c>
      <c r="B729" t="inlineStr">
        <is>
          <t>Numbers with Same Consecutive Differences</t>
        </is>
      </c>
      <c r="C729">
        <f>HYPERLINK("https://leetcode.com/problems/numbers-with-same-consecutive-differences/","numbers-with-same-consecutive-differences")</f>
        <v/>
      </c>
      <c r="D729" t="inlineStr">
        <is>
          <t>-</t>
        </is>
      </c>
      <c r="E729" t="inlineStr">
        <is>
          <t>Medium</t>
        </is>
      </c>
      <c r="F729" t="n">
        <v>15</v>
      </c>
      <c r="G729" t="inlineStr">
        <is>
          <t>Recursion &amp; Backtracking</t>
        </is>
      </c>
      <c r="H729" t="inlineStr">
        <is>
          <t>Combination Problems</t>
        </is>
      </c>
      <c r="I729" t="inlineStr">
        <is>
          <t>Leetcode</t>
        </is>
      </c>
      <c r="J729" t="inlineStr">
        <is>
          <t>Problem</t>
        </is>
      </c>
    </row>
    <row r="730">
      <c r="A730" t="n">
        <v>853</v>
      </c>
      <c r="B730" t="inlineStr">
        <is>
          <t>N-Queens</t>
        </is>
      </c>
      <c r="C730">
        <f>HYPERLINK("https://leetcode.com/problems/n-queens/","n-queens")</f>
        <v/>
      </c>
      <c r="D730" t="inlineStr">
        <is>
          <t>-</t>
        </is>
      </c>
      <c r="E730" t="inlineStr">
        <is>
          <t>Hard</t>
        </is>
      </c>
      <c r="F730" t="n">
        <v>15</v>
      </c>
      <c r="G730" t="inlineStr">
        <is>
          <t>Recursion &amp; Backtracking</t>
        </is>
      </c>
      <c r="H730" t="inlineStr">
        <is>
          <t>Combination Problems</t>
        </is>
      </c>
      <c r="I730" t="inlineStr">
        <is>
          <t>Leetcode</t>
        </is>
      </c>
      <c r="J730" t="inlineStr">
        <is>
          <t>Problem</t>
        </is>
      </c>
    </row>
    <row r="731">
      <c r="A731" t="n">
        <v>723</v>
      </c>
      <c r="B731" t="inlineStr">
        <is>
          <t>Subsets</t>
        </is>
      </c>
      <c r="C731">
        <f>HYPERLINK("https://leetcode.com/problems/subsets/","subsets")</f>
        <v/>
      </c>
      <c r="D731" t="inlineStr">
        <is>
          <t>-</t>
        </is>
      </c>
      <c r="E731" t="inlineStr">
        <is>
          <t>Medium</t>
        </is>
      </c>
      <c r="F731" t="n">
        <v>15</v>
      </c>
      <c r="G731" t="inlineStr">
        <is>
          <t>Recursion &amp; Backtracking</t>
        </is>
      </c>
      <c r="H731" t="inlineStr">
        <is>
          <t>Subsets Problems</t>
        </is>
      </c>
      <c r="I731" t="inlineStr">
        <is>
          <t>Leetcode</t>
        </is>
      </c>
      <c r="J731" t="inlineStr">
        <is>
          <t>Problem</t>
        </is>
      </c>
    </row>
    <row r="732">
      <c r="A732" t="n">
        <v>724</v>
      </c>
      <c r="B732" t="inlineStr">
        <is>
          <t>Subsets II</t>
        </is>
      </c>
      <c r="C732">
        <f>HYPERLINK("https://leetcode.com/problems/subsets-ii/","subsets-ii")</f>
        <v/>
      </c>
      <c r="D732" t="inlineStr">
        <is>
          <t>-</t>
        </is>
      </c>
      <c r="E732" t="inlineStr">
        <is>
          <t>Medium</t>
        </is>
      </c>
      <c r="F732" t="n">
        <v>15</v>
      </c>
      <c r="G732" t="inlineStr">
        <is>
          <t>Recursion &amp; Backtracking</t>
        </is>
      </c>
      <c r="H732" t="inlineStr">
        <is>
          <t>Subsets Problems</t>
        </is>
      </c>
      <c r="I732" t="inlineStr">
        <is>
          <t>Leetcode</t>
        </is>
      </c>
      <c r="J732" t="inlineStr">
        <is>
          <t>Problem</t>
        </is>
      </c>
    </row>
    <row r="733">
      <c r="A733" t="n">
        <v>549</v>
      </c>
      <c r="B733" t="inlineStr">
        <is>
          <t>Non-Decreasing Subsequences</t>
        </is>
      </c>
      <c r="C733">
        <f>HYPERLINK("https://leetcode.com/problems/non-decreasing-subsequences/","non-decreasing-subsequences")</f>
        <v/>
      </c>
      <c r="D733" t="inlineStr">
        <is>
          <t>-</t>
        </is>
      </c>
      <c r="E733" t="inlineStr">
        <is>
          <t>Medium</t>
        </is>
      </c>
      <c r="F733" t="n">
        <v>15</v>
      </c>
      <c r="G733" t="inlineStr">
        <is>
          <t>Recursion &amp; Backtracking</t>
        </is>
      </c>
      <c r="H733" t="inlineStr">
        <is>
          <t>Subsets Problems</t>
        </is>
      </c>
      <c r="I733" t="inlineStr">
        <is>
          <t>Leetcode</t>
        </is>
      </c>
      <c r="J733" t="inlineStr">
        <is>
          <t>Problem</t>
        </is>
      </c>
    </row>
    <row r="734">
      <c r="A734" t="n">
        <v>742</v>
      </c>
      <c r="B734" t="inlineStr">
        <is>
          <t>Number of Beautiful Subsets</t>
        </is>
      </c>
      <c r="C734">
        <f>HYPERLINK("https://leetcode.com/problems/the-number-of-beautiful-subsets/","the-number-of-beautiful-subsets")</f>
        <v/>
      </c>
      <c r="D734" t="inlineStr">
        <is>
          <t>-</t>
        </is>
      </c>
      <c r="E734" t="inlineStr">
        <is>
          <t>Medium</t>
        </is>
      </c>
      <c r="F734" t="n">
        <v>15</v>
      </c>
      <c r="G734" t="inlineStr">
        <is>
          <t>Recursion &amp; Backtracking</t>
        </is>
      </c>
      <c r="H734" t="inlineStr">
        <is>
          <t>Subsets Problems</t>
        </is>
      </c>
      <c r="I734" t="inlineStr">
        <is>
          <t>Leetcode</t>
        </is>
      </c>
      <c r="J734" t="inlineStr">
        <is>
          <t>Problem</t>
        </is>
      </c>
    </row>
    <row r="735">
      <c r="A735" t="n">
        <v>1509</v>
      </c>
      <c r="B735" t="inlineStr">
        <is>
          <t>Rat in a Maze Problem</t>
        </is>
      </c>
      <c r="C735">
        <f>HYPERLINK("https://www.geeksforgeeks.org/problems/rat-in-a-maze-problem/1","Solve Problem")</f>
        <v/>
      </c>
      <c r="D735" t="inlineStr">
        <is>
          <t>-</t>
        </is>
      </c>
      <c r="E735" t="inlineStr">
        <is>
          <t>Medium</t>
        </is>
      </c>
      <c r="F735" t="n">
        <v>15</v>
      </c>
      <c r="G735" t="inlineStr">
        <is>
          <t>Recursion &amp; Backtracking</t>
        </is>
      </c>
      <c r="H735" t="inlineStr">
        <is>
          <t>Path on Grid Problems</t>
        </is>
      </c>
      <c r="I735" t="inlineStr">
        <is>
          <t>Geeksforgeeks</t>
        </is>
      </c>
      <c r="J735" t="inlineStr">
        <is>
          <t>Problem</t>
        </is>
      </c>
    </row>
    <row r="736">
      <c r="A736" t="n">
        <v>863</v>
      </c>
      <c r="B736" t="inlineStr">
        <is>
          <t>Sudoku Solver</t>
        </is>
      </c>
      <c r="C736">
        <f>HYPERLINK("https://leetcode.com/problems/sudoku-solver/","sudoku-solver")</f>
        <v/>
      </c>
      <c r="D736" t="inlineStr">
        <is>
          <t>-</t>
        </is>
      </c>
      <c r="E736" t="inlineStr">
        <is>
          <t>Hard</t>
        </is>
      </c>
      <c r="F736" t="n">
        <v>15</v>
      </c>
      <c r="G736" t="inlineStr">
        <is>
          <t>Recursion &amp; Backtracking</t>
        </is>
      </c>
      <c r="H736" t="inlineStr">
        <is>
          <t>Path on Grid Problems</t>
        </is>
      </c>
      <c r="I736" t="inlineStr">
        <is>
          <t>Leetcode</t>
        </is>
      </c>
      <c r="J736" t="inlineStr">
        <is>
          <t>Problem</t>
        </is>
      </c>
    </row>
    <row r="737">
      <c r="A737" t="n">
        <v>57</v>
      </c>
      <c r="B737" t="inlineStr">
        <is>
          <t>Binary Tree Preorder Traversal</t>
        </is>
      </c>
      <c r="C737">
        <f>HYPERLINK("https://leetcode.com/problems/binary-tree-preorder-traversal/","binary-tree-preorder-traversal")</f>
        <v/>
      </c>
      <c r="D737" t="inlineStr">
        <is>
          <t>-</t>
        </is>
      </c>
      <c r="E737" t="inlineStr">
        <is>
          <t>Easy</t>
        </is>
      </c>
      <c r="F737" t="n">
        <v>16</v>
      </c>
      <c r="G737" t="inlineStr">
        <is>
          <t>Binary Tree</t>
        </is>
      </c>
      <c r="H737" t="inlineStr">
        <is>
          <t>Traversals</t>
        </is>
      </c>
      <c r="I737" t="inlineStr">
        <is>
          <t>Leetcode</t>
        </is>
      </c>
      <c r="J737" t="inlineStr">
        <is>
          <t>Problem</t>
        </is>
      </c>
    </row>
    <row r="738">
      <c r="A738" t="n">
        <v>99</v>
      </c>
      <c r="B738" t="inlineStr">
        <is>
          <t>Binary Tree Inorder Traversal</t>
        </is>
      </c>
      <c r="C738">
        <f>HYPERLINK("https://leetcode.com/problems/binary-tree-inorder-traversal/","binary-tree-inorder-traversal")</f>
        <v/>
      </c>
      <c r="D738" t="inlineStr">
        <is>
          <t>-</t>
        </is>
      </c>
      <c r="E738" t="inlineStr">
        <is>
          <t>Easy</t>
        </is>
      </c>
      <c r="F738" t="n">
        <v>16</v>
      </c>
      <c r="G738" t="inlineStr">
        <is>
          <t>Binary Tree</t>
        </is>
      </c>
      <c r="H738" t="inlineStr">
        <is>
          <t>Traversals</t>
        </is>
      </c>
      <c r="I738" t="inlineStr">
        <is>
          <t>Leetcode</t>
        </is>
      </c>
      <c r="J738" t="inlineStr">
        <is>
          <t>Problem</t>
        </is>
      </c>
    </row>
    <row r="739">
      <c r="A739" t="n">
        <v>56</v>
      </c>
      <c r="B739" t="inlineStr">
        <is>
          <t>Binary Tree Postorder Traversal</t>
        </is>
      </c>
      <c r="C739">
        <f>HYPERLINK("https://leetcode.com/problems/binary-tree-postorder-traversal/","binary-tree-postorder-traversal")</f>
        <v/>
      </c>
      <c r="D739" t="inlineStr">
        <is>
          <t>-</t>
        </is>
      </c>
      <c r="E739" t="inlineStr">
        <is>
          <t>Easy</t>
        </is>
      </c>
      <c r="F739" t="n">
        <v>16</v>
      </c>
      <c r="G739" t="inlineStr">
        <is>
          <t>Binary Tree</t>
        </is>
      </c>
      <c r="H739" t="inlineStr">
        <is>
          <t>Traversals</t>
        </is>
      </c>
      <c r="I739" t="inlineStr">
        <is>
          <t>Leetcode</t>
        </is>
      </c>
      <c r="J739" t="inlineStr">
        <is>
          <t>Problem</t>
        </is>
      </c>
    </row>
    <row r="740">
      <c r="A740" t="n">
        <v>1454</v>
      </c>
      <c r="B740" t="inlineStr">
        <is>
          <t>Preorder, Postorder, Inorder in a Single Traversal</t>
        </is>
      </c>
      <c r="C740">
        <f>HYPERLINK("https://www.geeksforgeeks.org/preorder-postorder-and-inorder-traversal-of-a-binary-tree-using-a-single-stack/","Solve Problem")</f>
        <v/>
      </c>
      <c r="D740" t="inlineStr">
        <is>
          <t>-</t>
        </is>
      </c>
      <c r="E740" t="inlineStr">
        <is>
          <t>Easy</t>
        </is>
      </c>
      <c r="F740" t="n">
        <v>16</v>
      </c>
      <c r="G740" t="inlineStr">
        <is>
          <t>Binary Tree</t>
        </is>
      </c>
      <c r="H740" t="inlineStr">
        <is>
          <t>Traversals</t>
        </is>
      </c>
      <c r="I740" t="inlineStr">
        <is>
          <t>Geeksforgeeks</t>
        </is>
      </c>
      <c r="J740" t="inlineStr">
        <is>
          <t>Problem</t>
        </is>
      </c>
    </row>
    <row r="741">
      <c r="A741" t="n">
        <v>1512</v>
      </c>
      <c r="B741" t="inlineStr">
        <is>
          <t>Remove Half Nodes</t>
        </is>
      </c>
      <c r="C741">
        <f>HYPERLINK("https://www.geeksforgeeks.org/problems/remove-half-nodes/1","Solve Problem")</f>
        <v/>
      </c>
      <c r="D741" t="inlineStr">
        <is>
          <t>-</t>
        </is>
      </c>
      <c r="E741" t="inlineStr">
        <is>
          <t>Easy</t>
        </is>
      </c>
      <c r="F741" t="n">
        <v>16</v>
      </c>
      <c r="G741" t="inlineStr">
        <is>
          <t>Binary Tree</t>
        </is>
      </c>
      <c r="H741" t="inlineStr">
        <is>
          <t>Properties of trees</t>
        </is>
      </c>
      <c r="I741" t="inlineStr">
        <is>
          <t>Geeksforgeeks</t>
        </is>
      </c>
      <c r="J741" t="inlineStr">
        <is>
          <t>Problem</t>
        </is>
      </c>
    </row>
    <row r="742">
      <c r="A742" t="n">
        <v>42</v>
      </c>
      <c r="B742" t="inlineStr">
        <is>
          <t>Balanced Binary Tree</t>
        </is>
      </c>
      <c r="C742">
        <f>HYPERLINK("https://leetcode.com/problems/balanced-binary-tree/description/","balanced-binary-tree")</f>
        <v/>
      </c>
      <c r="D742" t="inlineStr">
        <is>
          <t>-</t>
        </is>
      </c>
      <c r="E742" t="inlineStr">
        <is>
          <t>Easy</t>
        </is>
      </c>
      <c r="F742" t="n">
        <v>16</v>
      </c>
      <c r="G742" t="inlineStr">
        <is>
          <t>Binary Tree</t>
        </is>
      </c>
      <c r="H742" t="inlineStr">
        <is>
          <t>Properties of trees</t>
        </is>
      </c>
      <c r="I742" t="inlineStr">
        <is>
          <t>Leetcode</t>
        </is>
      </c>
      <c r="J742" t="inlineStr">
        <is>
          <t>Problem</t>
        </is>
      </c>
    </row>
    <row r="743">
      <c r="A743" t="n">
        <v>316</v>
      </c>
      <c r="B743" t="inlineStr">
        <is>
          <t>Maximum Depth of Binary Tree</t>
        </is>
      </c>
      <c r="C743">
        <f>HYPERLINK("https://leetcode.com/problems/maximum-depth-of-binary-tree/description/","maximum-depth-of-binary-tree")</f>
        <v/>
      </c>
      <c r="D743" t="inlineStr">
        <is>
          <t>-</t>
        </is>
      </c>
      <c r="E743" t="inlineStr">
        <is>
          <t>Easy</t>
        </is>
      </c>
      <c r="F743" t="n">
        <v>16</v>
      </c>
      <c r="G743" t="inlineStr">
        <is>
          <t>Binary Tree</t>
        </is>
      </c>
      <c r="H743" t="inlineStr">
        <is>
          <t>Properties of trees</t>
        </is>
      </c>
      <c r="I743" t="inlineStr">
        <is>
          <t>Leetcode</t>
        </is>
      </c>
      <c r="J743" t="inlineStr">
        <is>
          <t>Problem</t>
        </is>
      </c>
    </row>
    <row r="744">
      <c r="A744" t="n">
        <v>139</v>
      </c>
      <c r="B744" t="inlineStr">
        <is>
          <t>Diameter of Binary Tree</t>
        </is>
      </c>
      <c r="C744">
        <f>HYPERLINK("https://leetcode.com/problems/diameter-of-binary-tree/description/","diameter-of-binary-tree")</f>
        <v/>
      </c>
      <c r="D744" t="inlineStr">
        <is>
          <t>-</t>
        </is>
      </c>
      <c r="E744" t="inlineStr">
        <is>
          <t>Easy</t>
        </is>
      </c>
      <c r="F744" t="n">
        <v>16</v>
      </c>
      <c r="G744" t="inlineStr">
        <is>
          <t>Binary Tree</t>
        </is>
      </c>
      <c r="H744" t="inlineStr">
        <is>
          <t>Properties of trees</t>
        </is>
      </c>
      <c r="I744" t="inlineStr">
        <is>
          <t>Leetcode</t>
        </is>
      </c>
      <c r="J744" t="inlineStr">
        <is>
          <t>Problem</t>
        </is>
      </c>
    </row>
    <row r="745">
      <c r="A745" t="n">
        <v>277</v>
      </c>
      <c r="B745" t="inlineStr">
        <is>
          <t>Count Complete Tree Nodes</t>
        </is>
      </c>
      <c r="C745">
        <f>HYPERLINK("https://leetcode.com/problems/count-complete-tree-nodes/description/","count-complete-tree-nodes")</f>
        <v/>
      </c>
      <c r="D745" t="inlineStr">
        <is>
          <t>-</t>
        </is>
      </c>
      <c r="E745" t="inlineStr">
        <is>
          <t>Easy</t>
        </is>
      </c>
      <c r="F745" t="n">
        <v>16</v>
      </c>
      <c r="G745" t="inlineStr">
        <is>
          <t>Binary Tree</t>
        </is>
      </c>
      <c r="H745" t="inlineStr">
        <is>
          <t>Properties of trees</t>
        </is>
      </c>
      <c r="I745" t="inlineStr">
        <is>
          <t>Leetcode</t>
        </is>
      </c>
      <c r="J745" t="inlineStr">
        <is>
          <t>Problem</t>
        </is>
      </c>
    </row>
    <row r="746">
      <c r="A746" t="n">
        <v>385</v>
      </c>
      <c r="B746" t="inlineStr">
        <is>
          <t>Minimum Depth of Binary Tree</t>
        </is>
      </c>
      <c r="C746">
        <f>HYPERLINK("https://leetcode.com/problems/minimum-depth-of-binary-tree/","minimum-depth-of-binary-tree")</f>
        <v/>
      </c>
      <c r="D746" t="inlineStr">
        <is>
          <t>-</t>
        </is>
      </c>
      <c r="E746" t="inlineStr">
        <is>
          <t>Easy</t>
        </is>
      </c>
      <c r="F746" t="n">
        <v>16</v>
      </c>
      <c r="G746" t="inlineStr">
        <is>
          <t>Binary Tree</t>
        </is>
      </c>
      <c r="H746" t="inlineStr">
        <is>
          <t>Properties of trees</t>
        </is>
      </c>
      <c r="I746" t="inlineStr">
        <is>
          <t>Leetcode</t>
        </is>
      </c>
      <c r="J746" t="inlineStr">
        <is>
          <t>Problem</t>
        </is>
      </c>
    </row>
    <row r="747">
      <c r="A747" t="n">
        <v>427</v>
      </c>
      <c r="B747" t="inlineStr">
        <is>
          <t>Check Completeness of a Binary Tree</t>
        </is>
      </c>
      <c r="C747">
        <f>HYPERLINK("https://leetcode.com/problems/check-completeness-of-a-binary-tree/","check-completeness-of-a-binary-tree")</f>
        <v/>
      </c>
      <c r="D747" t="inlineStr">
        <is>
          <t>-</t>
        </is>
      </c>
      <c r="E747" t="inlineStr">
        <is>
          <t>Medium</t>
        </is>
      </c>
      <c r="F747" t="n">
        <v>16</v>
      </c>
      <c r="G747" t="inlineStr">
        <is>
          <t>Binary Tree</t>
        </is>
      </c>
      <c r="H747" t="inlineStr">
        <is>
          <t>Properties of trees</t>
        </is>
      </c>
      <c r="I747" t="inlineStr">
        <is>
          <t>Leetcode</t>
        </is>
      </c>
      <c r="J747" t="inlineStr">
        <is>
          <t>Problem</t>
        </is>
      </c>
    </row>
    <row r="748">
      <c r="A748" t="n">
        <v>1464</v>
      </c>
      <c r="B748" t="inlineStr">
        <is>
          <t>Construct Binary Tree from Parent Array</t>
        </is>
      </c>
      <c r="C748">
        <f>HYPERLINK("https://www.geeksforgeeks.org/problems/construct-binary-tree-from-parent-array/1","Solve Problem")</f>
        <v/>
      </c>
      <c r="D748" t="inlineStr">
        <is>
          <t>-</t>
        </is>
      </c>
      <c r="E748" t="inlineStr">
        <is>
          <t>Medium</t>
        </is>
      </c>
      <c r="F748" t="n">
        <v>16</v>
      </c>
      <c r="G748" t="inlineStr">
        <is>
          <t>Binary Tree</t>
        </is>
      </c>
      <c r="H748" t="inlineStr">
        <is>
          <t>Construction of Tree</t>
        </is>
      </c>
      <c r="I748" t="inlineStr">
        <is>
          <t>Geeksforgeeks</t>
        </is>
      </c>
      <c r="J748" t="inlineStr">
        <is>
          <t>Problem</t>
        </is>
      </c>
    </row>
    <row r="749">
      <c r="A749" t="n">
        <v>1490</v>
      </c>
      <c r="B749" t="inlineStr">
        <is>
          <t>Linked List to Binary Tree</t>
        </is>
      </c>
      <c r="C749">
        <f>HYPERLINK("https://www.geeksforgeeks.org/problems/make-binary-tree/1","Solve Problem")</f>
        <v/>
      </c>
      <c r="D749" t="inlineStr">
        <is>
          <t>-</t>
        </is>
      </c>
      <c r="E749" t="inlineStr">
        <is>
          <t>Medium</t>
        </is>
      </c>
      <c r="F749" t="n">
        <v>16</v>
      </c>
      <c r="G749" t="inlineStr">
        <is>
          <t>Binary Tree</t>
        </is>
      </c>
      <c r="H749" t="inlineStr">
        <is>
          <t>Construction of Tree</t>
        </is>
      </c>
      <c r="I749" t="inlineStr">
        <is>
          <t>Geeksforgeeks</t>
        </is>
      </c>
      <c r="J749" t="inlineStr">
        <is>
          <t>Problem</t>
        </is>
      </c>
    </row>
    <row r="750">
      <c r="A750" t="n">
        <v>839</v>
      </c>
      <c r="B750" t="inlineStr">
        <is>
          <t>Construct Binary Tree from Preorder and Inorder Traversal</t>
        </is>
      </c>
      <c r="C750">
        <f>HYPERLINK("https://leetcode.com/problems/construct-binary-tree-from-preorder-and-inorder-traversal/","construct-binary-tree-from-preorder-and-inorder-traversal")</f>
        <v/>
      </c>
      <c r="D750" t="inlineStr">
        <is>
          <t>-</t>
        </is>
      </c>
      <c r="E750" t="inlineStr">
        <is>
          <t>Medium</t>
        </is>
      </c>
      <c r="F750" t="n">
        <v>16</v>
      </c>
      <c r="G750" t="inlineStr">
        <is>
          <t>Binary Tree</t>
        </is>
      </c>
      <c r="H750" t="inlineStr">
        <is>
          <t>Construction of Tree</t>
        </is>
      </c>
      <c r="I750" t="inlineStr">
        <is>
          <t>Leetcode</t>
        </is>
      </c>
      <c r="J750" t="inlineStr">
        <is>
          <t>Problem</t>
        </is>
      </c>
    </row>
    <row r="751">
      <c r="A751" t="n">
        <v>838</v>
      </c>
      <c r="B751" t="inlineStr">
        <is>
          <t>Construct Binary Tree from Inorder and Postorder Traversal</t>
        </is>
      </c>
      <c r="C751">
        <f>HYPERLINK("https://leetcode.com/problems/construct-binary-tree-from-inorder-and-postorder-traversal/","construct-binary-tree-from-inorder-and-postorder-traversal")</f>
        <v/>
      </c>
      <c r="D751" t="inlineStr">
        <is>
          <t>-</t>
        </is>
      </c>
      <c r="E751" t="inlineStr">
        <is>
          <t>Medium</t>
        </is>
      </c>
      <c r="F751" t="n">
        <v>16</v>
      </c>
      <c r="G751" t="inlineStr">
        <is>
          <t>Binary Tree</t>
        </is>
      </c>
      <c r="H751" t="inlineStr">
        <is>
          <t>Construction of Tree</t>
        </is>
      </c>
      <c r="I751" t="inlineStr">
        <is>
          <t>Leetcode</t>
        </is>
      </c>
      <c r="J751" t="inlineStr">
        <is>
          <t>Problem</t>
        </is>
      </c>
    </row>
    <row r="752">
      <c r="A752" t="n">
        <v>840</v>
      </c>
      <c r="B752" t="inlineStr">
        <is>
          <t>Construct Binary Tree from Preorder and Postorder Traversal</t>
        </is>
      </c>
      <c r="C752">
        <f>HYPERLINK("https://leetcode.com/problems/construct-binary-tree-from-preorder-and-postorder-traversal/","construct-binary-tree-from-preorder-and-postorder-traversal")</f>
        <v/>
      </c>
      <c r="D752" t="inlineStr">
        <is>
          <t>-</t>
        </is>
      </c>
      <c r="E752" t="inlineStr">
        <is>
          <t>Medium</t>
        </is>
      </c>
      <c r="F752" t="n">
        <v>16</v>
      </c>
      <c r="G752" t="inlineStr">
        <is>
          <t>Binary Tree</t>
        </is>
      </c>
      <c r="H752" t="inlineStr">
        <is>
          <t>Construction of Tree</t>
        </is>
      </c>
      <c r="I752" t="inlineStr">
        <is>
          <t>Leetcode</t>
        </is>
      </c>
      <c r="J752" t="inlineStr">
        <is>
          <t>Problem</t>
        </is>
      </c>
    </row>
    <row r="753">
      <c r="A753" t="n">
        <v>1448</v>
      </c>
      <c r="B753" t="inlineStr">
        <is>
          <t>Construct Binary Tree from String with Bracket Representation</t>
        </is>
      </c>
      <c r="C753">
        <f>HYPERLINK("https://www.geeksforgeeks.org/construct-binary-tree-string-bracket-representation/","Solve Problem")</f>
        <v/>
      </c>
      <c r="D753" t="inlineStr">
        <is>
          <t>-</t>
        </is>
      </c>
      <c r="E753" t="inlineStr">
        <is>
          <t>Medium</t>
        </is>
      </c>
      <c r="F753" t="n">
        <v>16</v>
      </c>
      <c r="G753" t="inlineStr">
        <is>
          <t>Binary Tree</t>
        </is>
      </c>
      <c r="H753" t="inlineStr">
        <is>
          <t>Construction of Tree</t>
        </is>
      </c>
      <c r="I753" t="inlineStr">
        <is>
          <t>Geeksforgeeks</t>
        </is>
      </c>
      <c r="J753" t="inlineStr">
        <is>
          <t>Problem</t>
        </is>
      </c>
    </row>
    <row r="754">
      <c r="A754" t="n">
        <v>667</v>
      </c>
      <c r="B754" t="inlineStr">
        <is>
          <t>Same Tree</t>
        </is>
      </c>
      <c r="C754">
        <f>HYPERLINK("https://leetcode.com/problems/same-tree/","same-tree")</f>
        <v/>
      </c>
      <c r="D754" t="inlineStr">
        <is>
          <t>-</t>
        </is>
      </c>
      <c r="E754" t="inlineStr">
        <is>
          <t>Easy</t>
        </is>
      </c>
      <c r="F754" t="n">
        <v>16</v>
      </c>
      <c r="G754" t="inlineStr">
        <is>
          <t>Binary Tree</t>
        </is>
      </c>
      <c r="H754" t="inlineStr">
        <is>
          <t>Two tree Validation</t>
        </is>
      </c>
      <c r="I754" t="inlineStr">
        <is>
          <t>Leetcode</t>
        </is>
      </c>
      <c r="J754" t="inlineStr">
        <is>
          <t>Problem</t>
        </is>
      </c>
    </row>
    <row r="755">
      <c r="A755" t="n">
        <v>1524</v>
      </c>
      <c r="B755" t="inlineStr">
        <is>
          <t>Two Mirror Trees</t>
        </is>
      </c>
      <c r="C755">
        <f>HYPERLINK("https://www.geeksforgeeks.org/problems/two-mirror-trees/1","Solve Problem")</f>
        <v/>
      </c>
      <c r="D755" t="inlineStr">
        <is>
          <t>-</t>
        </is>
      </c>
      <c r="E755" t="inlineStr">
        <is>
          <t>Easy</t>
        </is>
      </c>
      <c r="F755" t="n">
        <v>16</v>
      </c>
      <c r="G755" t="inlineStr">
        <is>
          <t>Binary Tree</t>
        </is>
      </c>
      <c r="H755" t="inlineStr">
        <is>
          <t>Two tree Validation</t>
        </is>
      </c>
      <c r="I755" t="inlineStr">
        <is>
          <t>Geeksforgeeks</t>
        </is>
      </c>
      <c r="J755" t="inlineStr">
        <is>
          <t>Problem</t>
        </is>
      </c>
    </row>
    <row r="756">
      <c r="A756" t="n">
        <v>852</v>
      </c>
      <c r="B756" t="inlineStr">
        <is>
          <t>Merge Two Binary Trees</t>
        </is>
      </c>
      <c r="C756">
        <f>HYPERLINK("https://leetcode.com/problems/merge-two-binary-trees/","merge-two-binary-trees")</f>
        <v/>
      </c>
      <c r="D756" t="inlineStr">
        <is>
          <t>-</t>
        </is>
      </c>
      <c r="E756" t="inlineStr">
        <is>
          <t>Easy</t>
        </is>
      </c>
      <c r="F756" t="n">
        <v>16</v>
      </c>
      <c r="G756" t="inlineStr">
        <is>
          <t>Binary Tree</t>
        </is>
      </c>
      <c r="H756" t="inlineStr">
        <is>
          <t>Two tree Validation</t>
        </is>
      </c>
      <c r="I756" t="inlineStr">
        <is>
          <t>Leetcode</t>
        </is>
      </c>
      <c r="J756" t="inlineStr">
        <is>
          <t>Problem</t>
        </is>
      </c>
    </row>
    <row r="757">
      <c r="A757" t="n">
        <v>727</v>
      </c>
      <c r="B757" t="inlineStr">
        <is>
          <t>Subtree of Another Tree</t>
        </is>
      </c>
      <c r="C757">
        <f>HYPERLINK("https://leetcode.com/problems/subtree-of-another-tree/","subtree-of-another-tree")</f>
        <v/>
      </c>
      <c r="D757" t="inlineStr">
        <is>
          <t>-</t>
        </is>
      </c>
      <c r="E757" t="inlineStr">
        <is>
          <t>Easy</t>
        </is>
      </c>
      <c r="F757" t="n">
        <v>16</v>
      </c>
      <c r="G757" t="inlineStr">
        <is>
          <t>Binary Tree</t>
        </is>
      </c>
      <c r="H757" t="inlineStr">
        <is>
          <t>Two tree Validation</t>
        </is>
      </c>
      <c r="I757" t="inlineStr">
        <is>
          <t>Leetcode</t>
        </is>
      </c>
      <c r="J757" t="inlineStr">
        <is>
          <t>Problem</t>
        </is>
      </c>
    </row>
    <row r="758">
      <c r="A758" t="n">
        <v>1460</v>
      </c>
      <c r="B758" t="inlineStr">
        <is>
          <t>Check if Tree is Isomorphic</t>
        </is>
      </c>
      <c r="C758">
        <f>HYPERLINK("https://www.geeksforgeeks.org/problems/check-if-tree-is-isomorphic/1","Solve Problem")</f>
        <v/>
      </c>
      <c r="D758" t="inlineStr">
        <is>
          <t>-</t>
        </is>
      </c>
      <c r="E758" t="inlineStr">
        <is>
          <t>Easy</t>
        </is>
      </c>
      <c r="F758" t="n">
        <v>16</v>
      </c>
      <c r="G758" t="inlineStr">
        <is>
          <t>Binary Tree</t>
        </is>
      </c>
      <c r="H758" t="inlineStr">
        <is>
          <t>Two tree Validation</t>
        </is>
      </c>
      <c r="I758" t="inlineStr">
        <is>
          <t>Geeksforgeeks</t>
        </is>
      </c>
      <c r="J758" t="inlineStr">
        <is>
          <t>Problem</t>
        </is>
      </c>
    </row>
    <row r="759">
      <c r="A759" t="n">
        <v>243</v>
      </c>
      <c r="B759" t="inlineStr">
        <is>
          <t>Leaf-Similar Trees</t>
        </is>
      </c>
      <c r="C759">
        <f>HYPERLINK("https://leetcode.com/problems/leaf-similar-trees/","leaf-similar-trees")</f>
        <v/>
      </c>
      <c r="D759" t="inlineStr">
        <is>
          <t>-</t>
        </is>
      </c>
      <c r="E759" t="inlineStr">
        <is>
          <t>Easy</t>
        </is>
      </c>
      <c r="F759" t="n">
        <v>16</v>
      </c>
      <c r="G759" t="inlineStr">
        <is>
          <t>Binary Tree</t>
        </is>
      </c>
      <c r="H759" t="inlineStr">
        <is>
          <t>Two tree Validation</t>
        </is>
      </c>
      <c r="I759" t="inlineStr">
        <is>
          <t>Leetcode</t>
        </is>
      </c>
      <c r="J759" t="inlineStr">
        <is>
          <t>Problem</t>
        </is>
      </c>
    </row>
    <row r="760">
      <c r="A760" t="n">
        <v>1457</v>
      </c>
      <c r="B760" t="inlineStr">
        <is>
          <t>Check if Subtree</t>
        </is>
      </c>
      <c r="C760">
        <f>HYPERLINK("https://www.geeksforgeeks.org/problems/check-if-subtree/1","Solve Problem")</f>
        <v/>
      </c>
      <c r="D760" t="inlineStr">
        <is>
          <t>-</t>
        </is>
      </c>
      <c r="E760" t="inlineStr">
        <is>
          <t>Medium</t>
        </is>
      </c>
      <c r="F760" t="n">
        <v>16</v>
      </c>
      <c r="G760" t="inlineStr">
        <is>
          <t>Binary Tree</t>
        </is>
      </c>
      <c r="H760" t="inlineStr">
        <is>
          <t>Two tree Validation</t>
        </is>
      </c>
      <c r="I760" t="inlineStr">
        <is>
          <t>Geeksforgeeks</t>
        </is>
      </c>
      <c r="J760" t="inlineStr">
        <is>
          <t>Problem</t>
        </is>
      </c>
    </row>
    <row r="761">
      <c r="A761" t="n">
        <v>1499</v>
      </c>
      <c r="B761" t="inlineStr">
        <is>
          <t>Mirror Tree</t>
        </is>
      </c>
      <c r="C761">
        <f>HYPERLINK("https://www.geeksforgeeks.org/problems/mirror-tree/1","Solve Problem")</f>
        <v/>
      </c>
      <c r="D761" t="inlineStr">
        <is>
          <t>-</t>
        </is>
      </c>
      <c r="E761" t="inlineStr">
        <is>
          <t>Medium</t>
        </is>
      </c>
      <c r="F761" t="n">
        <v>16</v>
      </c>
      <c r="G761" t="inlineStr">
        <is>
          <t>Binary Tree</t>
        </is>
      </c>
      <c r="H761" t="inlineStr">
        <is>
          <t>Two tree Validation</t>
        </is>
      </c>
      <c r="I761" t="inlineStr">
        <is>
          <t>Geeksforgeeks</t>
        </is>
      </c>
      <c r="J761" t="inlineStr">
        <is>
          <t>Problem</t>
        </is>
      </c>
    </row>
    <row r="762">
      <c r="A762" t="n">
        <v>53</v>
      </c>
      <c r="B762" t="inlineStr">
        <is>
          <t>Binary Tree Level Order Traversal</t>
        </is>
      </c>
      <c r="C762">
        <f>HYPERLINK("https://leetcode.com/problems/binary-tree-level-order-traversal/description/","binary-tree-level-order-traversal")</f>
        <v/>
      </c>
      <c r="D762" t="inlineStr">
        <is>
          <t>-</t>
        </is>
      </c>
      <c r="E762" t="inlineStr">
        <is>
          <t>Medium</t>
        </is>
      </c>
      <c r="F762" t="n">
        <v>16</v>
      </c>
      <c r="G762" t="inlineStr">
        <is>
          <t>Binary Tree</t>
        </is>
      </c>
      <c r="H762" t="inlineStr">
        <is>
          <t>Level Order Traversal</t>
        </is>
      </c>
      <c r="I762" t="inlineStr">
        <is>
          <t>Leetcode</t>
        </is>
      </c>
      <c r="J762" t="inlineStr">
        <is>
          <t>Problem</t>
        </is>
      </c>
    </row>
    <row r="763">
      <c r="A763" t="n">
        <v>54</v>
      </c>
      <c r="B763" t="inlineStr">
        <is>
          <t>Binary Tree Level Order Traversal II</t>
        </is>
      </c>
      <c r="C763">
        <f>HYPERLINK("https://leetcode.com/problems/binary-tree-level-order-traversal-ii/description/","binary-tree-level-order-traversal-ii")</f>
        <v/>
      </c>
      <c r="D763" t="inlineStr">
        <is>
          <t>-</t>
        </is>
      </c>
      <c r="E763" t="inlineStr">
        <is>
          <t>Medium</t>
        </is>
      </c>
      <c r="F763" t="n">
        <v>16</v>
      </c>
      <c r="G763" t="inlineStr">
        <is>
          <t>Binary Tree</t>
        </is>
      </c>
      <c r="H763" t="inlineStr">
        <is>
          <t>Level Order Traversal</t>
        </is>
      </c>
      <c r="I763" t="inlineStr">
        <is>
          <t>Leetcode</t>
        </is>
      </c>
      <c r="J763" t="inlineStr">
        <is>
          <t>Problem</t>
        </is>
      </c>
    </row>
    <row r="764">
      <c r="A764" t="n">
        <v>128</v>
      </c>
      <c r="B764" t="inlineStr">
        <is>
          <t>Cousins in Binary Tree</t>
        </is>
      </c>
      <c r="C764">
        <f>HYPERLINK("https://leetcode.com/problems/cousins-in-binary-tree/description/","cousins-in-binary-tree")</f>
        <v/>
      </c>
      <c r="D764" t="inlineStr">
        <is>
          <t>-</t>
        </is>
      </c>
      <c r="E764" t="inlineStr">
        <is>
          <t>Easy</t>
        </is>
      </c>
      <c r="F764" t="n">
        <v>16</v>
      </c>
      <c r="G764" t="inlineStr">
        <is>
          <t>Binary Tree</t>
        </is>
      </c>
      <c r="H764" t="inlineStr">
        <is>
          <t>Level Order Traversal</t>
        </is>
      </c>
      <c r="I764" t="inlineStr">
        <is>
          <t>Leetcode</t>
        </is>
      </c>
      <c r="J764" t="inlineStr">
        <is>
          <t>Problem</t>
        </is>
      </c>
    </row>
    <row r="765">
      <c r="A765" t="n">
        <v>441</v>
      </c>
      <c r="B765" t="inlineStr">
        <is>
          <t>Average of Levels in Binary Tree</t>
        </is>
      </c>
      <c r="C765">
        <f>HYPERLINK("https://leetcode.com/problems/average-of-levels-in-binary-tree/description/","average-of-levels-in-binary-tree")</f>
        <v/>
      </c>
      <c r="D765" t="inlineStr">
        <is>
          <t>-</t>
        </is>
      </c>
      <c r="E765" t="inlineStr">
        <is>
          <t>Easy</t>
        </is>
      </c>
      <c r="F765" t="n">
        <v>16</v>
      </c>
      <c r="G765" t="inlineStr">
        <is>
          <t>Binary Tree</t>
        </is>
      </c>
      <c r="H765" t="inlineStr">
        <is>
          <t>Level Order Traversal</t>
        </is>
      </c>
      <c r="I765" t="inlineStr">
        <is>
          <t>Leetcode</t>
        </is>
      </c>
      <c r="J765" t="inlineStr">
        <is>
          <t>Problem</t>
        </is>
      </c>
    </row>
    <row r="766">
      <c r="A766" t="n">
        <v>403</v>
      </c>
      <c r="B766" t="inlineStr">
        <is>
          <t>Minimum Number of Operations to Sort a Binary Tree by Level</t>
        </is>
      </c>
      <c r="C766">
        <f>HYPERLINK("https://leetcode.com/problems/minimum-number-of-operations-to-sort-a-binary-tree-by-level/description/","minimum-number-of-operations-to-sort-a-binary-tree-by-level")</f>
        <v/>
      </c>
      <c r="D766" t="inlineStr">
        <is>
          <t>-</t>
        </is>
      </c>
      <c r="E766" t="inlineStr">
        <is>
          <t>Medium</t>
        </is>
      </c>
      <c r="F766" t="n">
        <v>16</v>
      </c>
      <c r="G766" t="inlineStr">
        <is>
          <t>Binary Tree</t>
        </is>
      </c>
      <c r="H766" t="inlineStr">
        <is>
          <t>Level Order Traversal</t>
        </is>
      </c>
      <c r="I766" t="inlineStr">
        <is>
          <t>Leetcode</t>
        </is>
      </c>
      <c r="J766" t="inlineStr">
        <is>
          <t>Problem</t>
        </is>
      </c>
    </row>
    <row r="767">
      <c r="A767" t="n">
        <v>58</v>
      </c>
      <c r="B767" t="inlineStr">
        <is>
          <t>Binary Tree Right Side View</t>
        </is>
      </c>
      <c r="C767">
        <f>HYPERLINK("https://leetcode.com/problems/binary-tree-right-side-view/description/","binary-tree-right-side-view")</f>
        <v/>
      </c>
      <c r="D767" t="inlineStr">
        <is>
          <t>-</t>
        </is>
      </c>
      <c r="E767" t="inlineStr">
        <is>
          <t>Easy</t>
        </is>
      </c>
      <c r="F767" t="n">
        <v>16</v>
      </c>
      <c r="G767" t="inlineStr">
        <is>
          <t>Binary Tree</t>
        </is>
      </c>
      <c r="H767" t="inlineStr">
        <is>
          <t>Level Order Traversal</t>
        </is>
      </c>
      <c r="I767" t="inlineStr">
        <is>
          <t>Leetcode</t>
        </is>
      </c>
      <c r="J767" t="inlineStr">
        <is>
          <t>Problem</t>
        </is>
      </c>
    </row>
    <row r="768">
      <c r="A768" t="n">
        <v>1488</v>
      </c>
      <c r="B768" t="inlineStr">
        <is>
          <t>Left View of Binary Tree</t>
        </is>
      </c>
      <c r="C768">
        <f>HYPERLINK("https://www.geeksforgeeks.org/problems/left-view-of-binary-tree/1","Solve Problem")</f>
        <v/>
      </c>
      <c r="D768" t="inlineStr">
        <is>
          <t>-</t>
        </is>
      </c>
      <c r="E768" t="inlineStr">
        <is>
          <t>Easy</t>
        </is>
      </c>
      <c r="F768" t="n">
        <v>16</v>
      </c>
      <c r="G768" t="inlineStr">
        <is>
          <t>Binary Tree</t>
        </is>
      </c>
      <c r="H768" t="inlineStr">
        <is>
          <t>Level Order Traversal</t>
        </is>
      </c>
      <c r="I768" t="inlineStr">
        <is>
          <t>Geeksforgeeks</t>
        </is>
      </c>
      <c r="J768" t="inlineStr">
        <is>
          <t>Problem</t>
        </is>
      </c>
    </row>
    <row r="769">
      <c r="A769" t="n">
        <v>1522</v>
      </c>
      <c r="B769" t="inlineStr">
        <is>
          <t>Top View of Binary Tree</t>
        </is>
      </c>
      <c r="C769">
        <f>HYPERLINK("https://www.geeksforgeeks.org/problems/top-view-of-binary-tree/1","Solve Problem")</f>
        <v/>
      </c>
      <c r="D769" t="inlineStr">
        <is>
          <t>-</t>
        </is>
      </c>
      <c r="E769" t="inlineStr">
        <is>
          <t>Medium</t>
        </is>
      </c>
      <c r="F769" t="n">
        <v>16</v>
      </c>
      <c r="G769" t="inlineStr">
        <is>
          <t>Binary Tree</t>
        </is>
      </c>
      <c r="H769" t="inlineStr">
        <is>
          <t>Level Order Traversal</t>
        </is>
      </c>
      <c r="I769" t="inlineStr">
        <is>
          <t>Geeksforgeeks</t>
        </is>
      </c>
      <c r="J769" t="inlineStr">
        <is>
          <t>Problem</t>
        </is>
      </c>
    </row>
    <row r="770">
      <c r="A770" t="n">
        <v>772</v>
      </c>
      <c r="B770" t="inlineStr">
        <is>
          <t>Vertical Order Traversal of a Binary Tree</t>
        </is>
      </c>
      <c r="C770">
        <f>HYPERLINK("https://leetcode.com/problems/vertical-order-traversal-of-a-binary-tree/","vertical-order-traversal-of-a-binary-tree")</f>
        <v/>
      </c>
      <c r="D770" t="inlineStr">
        <is>
          <t>-</t>
        </is>
      </c>
      <c r="E770" t="inlineStr">
        <is>
          <t>Hard</t>
        </is>
      </c>
      <c r="F770" t="n">
        <v>16</v>
      </c>
      <c r="G770" t="inlineStr">
        <is>
          <t>Binary Tree</t>
        </is>
      </c>
      <c r="H770" t="inlineStr">
        <is>
          <t>Level Order Traversal</t>
        </is>
      </c>
      <c r="I770" t="inlineStr">
        <is>
          <t>Leetcode</t>
        </is>
      </c>
      <c r="J770" t="inlineStr">
        <is>
          <t>Problem</t>
        </is>
      </c>
    </row>
    <row r="771">
      <c r="A771" t="n">
        <v>1041</v>
      </c>
      <c r="B771" t="inlineStr">
        <is>
          <t>Serialize and Deserialize Binary Tree</t>
        </is>
      </c>
      <c r="C771">
        <f>HYPERLINK("https://leetcode.com/problems/serialize-and-deserialize-binary-tree/description/","serialize-and-deserialize-binary-tree")</f>
        <v/>
      </c>
      <c r="D771" t="inlineStr">
        <is>
          <t>-</t>
        </is>
      </c>
      <c r="E771" t="inlineStr">
        <is>
          <t>Hard</t>
        </is>
      </c>
      <c r="F771" t="n">
        <v>16</v>
      </c>
      <c r="G771" t="inlineStr">
        <is>
          <t>Binary Tree</t>
        </is>
      </c>
      <c r="H771" t="inlineStr">
        <is>
          <t>Level Order Traversal</t>
        </is>
      </c>
      <c r="I771" t="inlineStr">
        <is>
          <t>Leetcode</t>
        </is>
      </c>
      <c r="J771" t="inlineStr">
        <is>
          <t>Problem</t>
        </is>
      </c>
    </row>
    <row r="772">
      <c r="A772" t="n">
        <v>34</v>
      </c>
      <c r="B772" t="inlineStr">
        <is>
          <t>All Nodes Distance K in Binary Tree</t>
        </is>
      </c>
      <c r="C772">
        <f>HYPERLINK("https://leetcode.com/problems/all-nodes-distance-k-in-binary-tree/description/","all-nodes-distance-k-in-binary-tree")</f>
        <v/>
      </c>
      <c r="D772" t="inlineStr">
        <is>
          <t>-</t>
        </is>
      </c>
      <c r="E772" t="inlineStr">
        <is>
          <t>Medium</t>
        </is>
      </c>
      <c r="F772" t="n">
        <v>16</v>
      </c>
      <c r="G772" t="inlineStr">
        <is>
          <t>Binary Tree</t>
        </is>
      </c>
      <c r="H772" t="inlineStr">
        <is>
          <t>Level Order Traversal</t>
        </is>
      </c>
      <c r="I772" t="inlineStr">
        <is>
          <t>Leetcode</t>
        </is>
      </c>
      <c r="J772" t="inlineStr">
        <is>
          <t>Problem</t>
        </is>
      </c>
    </row>
    <row r="773">
      <c r="A773" t="n">
        <v>1458</v>
      </c>
      <c r="B773" t="inlineStr">
        <is>
          <t>Burning Tree</t>
        </is>
      </c>
      <c r="C773">
        <f>HYPERLINK("https://www.geeksforgeeks.org/problems/burning-tree/1","Solve Problem")</f>
        <v/>
      </c>
      <c r="D773" t="inlineStr">
        <is>
          <t>-</t>
        </is>
      </c>
      <c r="E773" t="inlineStr">
        <is>
          <t>Hard</t>
        </is>
      </c>
      <c r="F773" t="n">
        <v>16</v>
      </c>
      <c r="G773" t="inlineStr">
        <is>
          <t>Binary Tree</t>
        </is>
      </c>
      <c r="H773" t="inlineStr">
        <is>
          <t>Level Order Traversal</t>
        </is>
      </c>
      <c r="I773" t="inlineStr">
        <is>
          <t>Geeksforgeeks</t>
        </is>
      </c>
      <c r="J773" t="inlineStr">
        <is>
          <t>Problem</t>
        </is>
      </c>
    </row>
    <row r="774">
      <c r="A774" t="n">
        <v>1040</v>
      </c>
      <c r="B774" t="inlineStr">
        <is>
          <t>Populating Next Right Pointers in Each Node</t>
        </is>
      </c>
      <c r="C774">
        <f>HYPERLINK("https://leetcode.com/problems/populating-next-right-pointers-in-each-node/description/","populating-next-right-pointers-in-each-node")</f>
        <v/>
      </c>
      <c r="D774" t="inlineStr">
        <is>
          <t>-</t>
        </is>
      </c>
      <c r="E774" t="inlineStr">
        <is>
          <t>Medium</t>
        </is>
      </c>
      <c r="F774" t="n">
        <v>16</v>
      </c>
      <c r="G774" t="inlineStr">
        <is>
          <t>Binary Tree</t>
        </is>
      </c>
      <c r="H774" t="inlineStr">
        <is>
          <t>Level Order Traversal</t>
        </is>
      </c>
      <c r="I774" t="inlineStr">
        <is>
          <t>Leetcode</t>
        </is>
      </c>
      <c r="J774" t="inlineStr">
        <is>
          <t>Problem</t>
        </is>
      </c>
    </row>
    <row r="775">
      <c r="A775" t="n">
        <v>55</v>
      </c>
      <c r="B775" t="inlineStr">
        <is>
          <t>Binary Tree Paths</t>
        </is>
      </c>
      <c r="C775">
        <f>HYPERLINK("https://leetcode.com/problems/binary-tree-paths/description/","binary-tree-paths")</f>
        <v/>
      </c>
      <c r="D775" t="inlineStr">
        <is>
          <t>-</t>
        </is>
      </c>
      <c r="E775" t="inlineStr">
        <is>
          <t>Easy</t>
        </is>
      </c>
      <c r="F775" t="n">
        <v>16</v>
      </c>
      <c r="G775" t="inlineStr">
        <is>
          <t>Binary Tree</t>
        </is>
      </c>
      <c r="H775" t="inlineStr">
        <is>
          <t>Binary Tree Path</t>
        </is>
      </c>
      <c r="I775" t="inlineStr">
        <is>
          <t>Leetcode</t>
        </is>
      </c>
      <c r="J775" t="inlineStr">
        <is>
          <t>Problem</t>
        </is>
      </c>
    </row>
    <row r="776">
      <c r="A776" t="n">
        <v>590</v>
      </c>
      <c r="B776" t="inlineStr">
        <is>
          <t>Path Sum</t>
        </is>
      </c>
      <c r="C776">
        <f>HYPERLINK("https://leetcode.com/problems/path-sum/description/","path-sum")</f>
        <v/>
      </c>
      <c r="D776" t="inlineStr">
        <is>
          <t>-</t>
        </is>
      </c>
      <c r="E776" t="inlineStr">
        <is>
          <t>Easy</t>
        </is>
      </c>
      <c r="F776" t="n">
        <v>16</v>
      </c>
      <c r="G776" t="inlineStr">
        <is>
          <t>Binary Tree</t>
        </is>
      </c>
      <c r="H776" t="inlineStr">
        <is>
          <t>Binary Tree Path</t>
        </is>
      </c>
      <c r="I776" t="inlineStr">
        <is>
          <t>Leetcode</t>
        </is>
      </c>
      <c r="J776" t="inlineStr">
        <is>
          <t>Problem</t>
        </is>
      </c>
    </row>
    <row r="777">
      <c r="A777" t="n">
        <v>1465</v>
      </c>
      <c r="B777" t="inlineStr">
        <is>
          <t>Children Sum in a Binary Tree</t>
        </is>
      </c>
      <c r="C777">
        <f>HYPERLINK("https://www.geeksforgeeks.org/problems/children-sum-parent/1","Solve Problem")</f>
        <v/>
      </c>
      <c r="D777" t="inlineStr">
        <is>
          <t>-</t>
        </is>
      </c>
      <c r="E777" t="inlineStr">
        <is>
          <t>Medium</t>
        </is>
      </c>
      <c r="F777" t="n">
        <v>16</v>
      </c>
      <c r="G777" t="inlineStr">
        <is>
          <t>Binary Tree</t>
        </is>
      </c>
      <c r="H777" t="inlineStr">
        <is>
          <t>Binary Tree Path</t>
        </is>
      </c>
      <c r="I777" t="inlineStr">
        <is>
          <t>Geeksforgeeks</t>
        </is>
      </c>
      <c r="J777" t="inlineStr">
        <is>
          <t>Problem</t>
        </is>
      </c>
    </row>
    <row r="778">
      <c r="A778" t="n">
        <v>591</v>
      </c>
      <c r="B778" t="inlineStr">
        <is>
          <t>Path Sum II</t>
        </is>
      </c>
      <c r="C778">
        <f>HYPERLINK("https://leetcode.com/problems/path-sum-ii/","path-sum-ii")</f>
        <v/>
      </c>
      <c r="D778" t="inlineStr">
        <is>
          <t>-</t>
        </is>
      </c>
      <c r="E778" t="inlineStr">
        <is>
          <t>Medium</t>
        </is>
      </c>
      <c r="F778" t="n">
        <v>16</v>
      </c>
      <c r="G778" t="inlineStr">
        <is>
          <t>Binary Tree</t>
        </is>
      </c>
      <c r="H778" t="inlineStr">
        <is>
          <t>Binary Tree Path</t>
        </is>
      </c>
      <c r="I778" t="inlineStr">
        <is>
          <t>Leetcode</t>
        </is>
      </c>
      <c r="J778" t="inlineStr">
        <is>
          <t>Problem</t>
        </is>
      </c>
    </row>
    <row r="779">
      <c r="A779" t="n">
        <v>20</v>
      </c>
      <c r="B779" t="inlineStr">
        <is>
          <t>Sum Root to Leaf Numbers</t>
        </is>
      </c>
      <c r="C779">
        <f>HYPERLINK("https://leetcode.com/problems/sum-root-to-leaf-numbers/","sum-root-to-leaf-numbers")</f>
        <v/>
      </c>
      <c r="D779" t="inlineStr">
        <is>
          <t>-</t>
        </is>
      </c>
      <c r="E779" t="inlineStr">
        <is>
          <t>Medium</t>
        </is>
      </c>
      <c r="F779" t="n">
        <v>16</v>
      </c>
      <c r="G779" t="inlineStr">
        <is>
          <t>Binary Tree</t>
        </is>
      </c>
      <c r="H779" t="inlineStr">
        <is>
          <t>Binary Tree Path</t>
        </is>
      </c>
      <c r="I779" t="inlineStr">
        <is>
          <t>Leetcode</t>
        </is>
      </c>
      <c r="J779" t="inlineStr">
        <is>
          <t>Problem</t>
        </is>
      </c>
    </row>
    <row r="780">
      <c r="A780" t="n">
        <v>19</v>
      </c>
      <c r="B780" t="inlineStr">
        <is>
          <t>Binary Tree Maximum Path Sum</t>
        </is>
      </c>
      <c r="C780">
        <f>HYPERLINK("https://leetcode.com/problems/binary-tree-maximum-path-sum/description/","binary-tree-maximum-path-sum")</f>
        <v/>
      </c>
      <c r="D780" t="inlineStr">
        <is>
          <t>-</t>
        </is>
      </c>
      <c r="E780" t="inlineStr">
        <is>
          <t>Hard</t>
        </is>
      </c>
      <c r="F780" t="n">
        <v>16</v>
      </c>
      <c r="G780" t="inlineStr">
        <is>
          <t>Binary Tree</t>
        </is>
      </c>
      <c r="H780" t="inlineStr">
        <is>
          <t>Binary Tree Path</t>
        </is>
      </c>
      <c r="I780" t="inlineStr">
        <is>
          <t>Leetcode</t>
        </is>
      </c>
      <c r="J780" t="inlineStr">
        <is>
          <t>Problem</t>
        </is>
      </c>
    </row>
    <row r="781">
      <c r="A781" t="n">
        <v>592</v>
      </c>
      <c r="B781" t="inlineStr">
        <is>
          <t>Path Sum III</t>
        </is>
      </c>
      <c r="C781">
        <f>HYPERLINK("https://leetcode.com/problems/path-sum-iii/description/","path-sum-iii")</f>
        <v/>
      </c>
      <c r="D781" t="inlineStr">
        <is>
          <t>-</t>
        </is>
      </c>
      <c r="E781" t="inlineStr">
        <is>
          <t>Medium</t>
        </is>
      </c>
      <c r="F781" t="n">
        <v>16</v>
      </c>
      <c r="G781" t="inlineStr">
        <is>
          <t>Binary Tree</t>
        </is>
      </c>
      <c r="H781" t="inlineStr">
        <is>
          <t>Binary Tree Path</t>
        </is>
      </c>
      <c r="I781" t="inlineStr">
        <is>
          <t>Leetcode</t>
        </is>
      </c>
      <c r="J781" t="inlineStr">
        <is>
          <t>Problem</t>
        </is>
      </c>
    </row>
    <row r="782">
      <c r="A782" t="n">
        <v>18</v>
      </c>
      <c r="B782" t="inlineStr">
        <is>
          <t>Lowest Common Ancestor of a Binary Tree</t>
        </is>
      </c>
      <c r="C782">
        <f>HYPERLINK("https://leetcode.com/problems/lowest-common-ancestor-of-a-binary-tree/description/","lowest-common-ancestor-of-a-binary-tree")</f>
        <v/>
      </c>
      <c r="D782" t="inlineStr">
        <is>
          <t>-</t>
        </is>
      </c>
      <c r="E782" t="inlineStr">
        <is>
          <t>Medium</t>
        </is>
      </c>
      <c r="F782" t="n">
        <v>16</v>
      </c>
      <c r="G782" t="inlineStr">
        <is>
          <t>Binary Tree</t>
        </is>
      </c>
      <c r="H782" t="inlineStr">
        <is>
          <t>Binary Tree Path</t>
        </is>
      </c>
      <c r="I782" t="inlineStr">
        <is>
          <t>Leetcode</t>
        </is>
      </c>
      <c r="J782" t="inlineStr">
        <is>
          <t>Problem</t>
        </is>
      </c>
    </row>
    <row r="783">
      <c r="A783" t="n">
        <v>782</v>
      </c>
      <c r="B783" t="inlineStr">
        <is>
          <t>N-ary Tree</t>
        </is>
      </c>
      <c r="C783">
        <f>HYPERLINK("https://leetcode.com/explore/learn/card/n-ary-tree/","Solve Problem")</f>
        <v/>
      </c>
      <c r="D783" t="inlineStr">
        <is>
          <t>-</t>
        </is>
      </c>
      <c r="E783" t="inlineStr">
        <is>
          <t>Theory</t>
        </is>
      </c>
      <c r="F783" t="n">
        <v>16</v>
      </c>
      <c r="G783" t="inlineStr">
        <is>
          <t>Binary Tree</t>
        </is>
      </c>
      <c r="H783" t="inlineStr">
        <is>
          <t>N-ary Tree</t>
        </is>
      </c>
      <c r="I783" t="inlineStr">
        <is>
          <t>Leetcode</t>
        </is>
      </c>
      <c r="J783" t="inlineStr">
        <is>
          <t>Lesson</t>
        </is>
      </c>
    </row>
    <row r="784">
      <c r="A784" t="n">
        <v>542</v>
      </c>
      <c r="B784" t="inlineStr">
        <is>
          <t>N-ary Tree Postorder Traversal</t>
        </is>
      </c>
      <c r="C784">
        <f>HYPERLINK("https://leetcode.com/problems/n-ary-tree-postorder-traversal","n-ary-tree-postorder-traversal")</f>
        <v/>
      </c>
      <c r="D784" t="inlineStr">
        <is>
          <t>-</t>
        </is>
      </c>
      <c r="E784" t="inlineStr">
        <is>
          <t>Easy</t>
        </is>
      </c>
      <c r="F784" t="n">
        <v>16</v>
      </c>
      <c r="G784" t="inlineStr">
        <is>
          <t>Binary Tree</t>
        </is>
      </c>
      <c r="H784" t="inlineStr">
        <is>
          <t>N-ary Tree</t>
        </is>
      </c>
      <c r="I784" t="inlineStr">
        <is>
          <t>Leetcode</t>
        </is>
      </c>
      <c r="J784" t="inlineStr">
        <is>
          <t>Problem</t>
        </is>
      </c>
    </row>
    <row r="785">
      <c r="A785" t="n">
        <v>826</v>
      </c>
      <c r="B785" t="inlineStr">
        <is>
          <t>N-ary Tree Preorder Traversal</t>
        </is>
      </c>
      <c r="C785">
        <f>HYPERLINK("https://leetcode.com/problems/n-ary-tree-preorder-traversal","n-ary-tree-preorder-traversal")</f>
        <v/>
      </c>
      <c r="D785" t="inlineStr">
        <is>
          <t>-</t>
        </is>
      </c>
      <c r="E785" t="inlineStr">
        <is>
          <t>Easy</t>
        </is>
      </c>
      <c r="F785" t="n">
        <v>16</v>
      </c>
      <c r="G785" t="inlineStr">
        <is>
          <t>Binary Tree</t>
        </is>
      </c>
      <c r="H785" t="inlineStr">
        <is>
          <t>N-ary Tree</t>
        </is>
      </c>
      <c r="I785" t="inlineStr">
        <is>
          <t>Leetcode</t>
        </is>
      </c>
      <c r="J785" t="inlineStr">
        <is>
          <t>Problem</t>
        </is>
      </c>
    </row>
    <row r="786">
      <c r="A786" t="n">
        <v>487</v>
      </c>
      <c r="B786" t="inlineStr">
        <is>
          <t>Maximum Depth of N-ary Tree</t>
        </is>
      </c>
      <c r="C786">
        <f>HYPERLINK("https://leetcode.com/problems/maximum-depth-of-n-ary-tree","maximum-depth-of-n-ary-tree")</f>
        <v/>
      </c>
      <c r="D786" t="inlineStr">
        <is>
          <t>-</t>
        </is>
      </c>
      <c r="E786" t="inlineStr">
        <is>
          <t>Easy</t>
        </is>
      </c>
      <c r="F786" t="n">
        <v>16</v>
      </c>
      <c r="G786" t="inlineStr">
        <is>
          <t>Binary Tree</t>
        </is>
      </c>
      <c r="H786" t="inlineStr">
        <is>
          <t>N-ary Tree</t>
        </is>
      </c>
      <c r="I786" t="inlineStr">
        <is>
          <t>Leetcode</t>
        </is>
      </c>
      <c r="J786" t="inlineStr">
        <is>
          <t>Problem</t>
        </is>
      </c>
    </row>
    <row r="787">
      <c r="A787" t="n">
        <v>858</v>
      </c>
      <c r="B787" t="inlineStr">
        <is>
          <t>Search in a Binary Search Tree</t>
        </is>
      </c>
      <c r="C787">
        <f>HYPERLINK("https://leetcode.com/problems/search-in-a-binary-search-tree/","search-in-a-binary-search-tree")</f>
        <v/>
      </c>
      <c r="D787" t="inlineStr">
        <is>
          <t>-</t>
        </is>
      </c>
      <c r="E787" t="inlineStr">
        <is>
          <t>Easy</t>
        </is>
      </c>
      <c r="F787" t="n">
        <v>17</v>
      </c>
      <c r="G787" t="inlineStr">
        <is>
          <t>Binary Search Tree</t>
        </is>
      </c>
      <c r="H787" t="inlineStr">
        <is>
          <t>Basic Operations</t>
        </is>
      </c>
      <c r="I787" t="inlineStr">
        <is>
          <t>Leetcode</t>
        </is>
      </c>
      <c r="J787" t="inlineStr">
        <is>
          <t>Problem</t>
        </is>
      </c>
    </row>
    <row r="788">
      <c r="A788" t="n">
        <v>849</v>
      </c>
      <c r="B788" t="inlineStr">
        <is>
          <t>Insert into a Binary Search Tree</t>
        </is>
      </c>
      <c r="C788">
        <f>HYPERLINK("https://leetcode.com/problems/insert-into-a-binary-search-tree/","insert-into-a-binary-search-tree")</f>
        <v/>
      </c>
      <c r="D788" t="inlineStr">
        <is>
          <t>-</t>
        </is>
      </c>
      <c r="E788" t="inlineStr">
        <is>
          <t>Medium</t>
        </is>
      </c>
      <c r="F788" t="n">
        <v>17</v>
      </c>
      <c r="G788" t="inlineStr">
        <is>
          <t>Binary Search Tree</t>
        </is>
      </c>
      <c r="H788" t="inlineStr">
        <is>
          <t>Basic Operations</t>
        </is>
      </c>
      <c r="I788" t="inlineStr">
        <is>
          <t>Leetcode</t>
        </is>
      </c>
      <c r="J788" t="inlineStr">
        <is>
          <t>Problem</t>
        </is>
      </c>
    </row>
    <row r="789">
      <c r="A789" t="n">
        <v>844</v>
      </c>
      <c r="B789" t="inlineStr">
        <is>
          <t>Delete Node in a BST</t>
        </is>
      </c>
      <c r="C789">
        <f>HYPERLINK("https://leetcode.com/problems/delete-node-in-a-bst/","delete-node-in-a-bst")</f>
        <v/>
      </c>
      <c r="D789" t="inlineStr">
        <is>
          <t>-</t>
        </is>
      </c>
      <c r="E789" t="inlineStr">
        <is>
          <t>Medium</t>
        </is>
      </c>
      <c r="F789" t="n">
        <v>17</v>
      </c>
      <c r="G789" t="inlineStr">
        <is>
          <t>Binary Search Tree</t>
        </is>
      </c>
      <c r="H789" t="inlineStr">
        <is>
          <t>Basic Operations</t>
        </is>
      </c>
      <c r="I789" t="inlineStr">
        <is>
          <t>Leetcode</t>
        </is>
      </c>
      <c r="J789" t="inlineStr">
        <is>
          <t>Problem</t>
        </is>
      </c>
    </row>
    <row r="790">
      <c r="A790" t="n">
        <v>842</v>
      </c>
      <c r="B790" t="inlineStr">
        <is>
          <t>Convert Sorted Array to Binary Search Tree</t>
        </is>
      </c>
      <c r="C790">
        <f>HYPERLINK("https://leetcode.com/problems/convert-sorted-array-to-binary-search-tree/","convert-sorted-array-to-binary-search-tree")</f>
        <v/>
      </c>
      <c r="D790" t="inlineStr">
        <is>
          <t>-</t>
        </is>
      </c>
      <c r="E790" t="inlineStr">
        <is>
          <t>Easy</t>
        </is>
      </c>
      <c r="F790" t="n">
        <v>17</v>
      </c>
      <c r="G790" t="inlineStr">
        <is>
          <t>Binary Search Tree</t>
        </is>
      </c>
      <c r="H790" t="inlineStr">
        <is>
          <t>Construction of BST</t>
        </is>
      </c>
      <c r="I790" t="inlineStr">
        <is>
          <t>Leetcode</t>
        </is>
      </c>
      <c r="J790" t="inlineStr">
        <is>
          <t>Problem</t>
        </is>
      </c>
    </row>
    <row r="791">
      <c r="A791" t="n">
        <v>843</v>
      </c>
      <c r="B791" t="inlineStr">
        <is>
          <t>Convert Sorted List to Binary Search Tree</t>
        </is>
      </c>
      <c r="C791">
        <f>HYPERLINK("https://leetcode.com/problems/convert-sorted-list-to-binary-search-tree/","convert-sorted-list-to-binary-search-tree")</f>
        <v/>
      </c>
      <c r="D791" t="inlineStr">
        <is>
          <t>-</t>
        </is>
      </c>
      <c r="E791" t="inlineStr">
        <is>
          <t>Medium</t>
        </is>
      </c>
      <c r="F791" t="n">
        <v>17</v>
      </c>
      <c r="G791" t="inlineStr">
        <is>
          <t>Binary Search Tree</t>
        </is>
      </c>
      <c r="H791" t="inlineStr">
        <is>
          <t>Construction of BST</t>
        </is>
      </c>
      <c r="I791" t="inlineStr">
        <is>
          <t>Leetcode</t>
        </is>
      </c>
      <c r="J791" t="inlineStr">
        <is>
          <t>Problem</t>
        </is>
      </c>
    </row>
    <row r="792">
      <c r="A792" t="n">
        <v>841</v>
      </c>
      <c r="B792" t="inlineStr">
        <is>
          <t>Convert BST to Greater Tree</t>
        </is>
      </c>
      <c r="C792">
        <f>HYPERLINK("https://leetcode.com/problems/convert-bst-to-greater-tree","convert-bst-to-greater-tree")</f>
        <v/>
      </c>
      <c r="D792" t="inlineStr">
        <is>
          <t>-</t>
        </is>
      </c>
      <c r="E792" t="inlineStr">
        <is>
          <t>Medium</t>
        </is>
      </c>
      <c r="F792" t="n">
        <v>17</v>
      </c>
      <c r="G792" t="inlineStr">
        <is>
          <t>Binary Search Tree</t>
        </is>
      </c>
      <c r="H792" t="inlineStr">
        <is>
          <t>Construction of BST</t>
        </is>
      </c>
      <c r="I792" t="inlineStr">
        <is>
          <t>Leetcode</t>
        </is>
      </c>
      <c r="J792" t="inlineStr">
        <is>
          <t>Problem</t>
        </is>
      </c>
    </row>
    <row r="793">
      <c r="A793" t="n">
        <v>871</v>
      </c>
      <c r="B793" t="inlineStr">
        <is>
          <t>Trim a Binary Search Tree</t>
        </is>
      </c>
      <c r="C793">
        <f>HYPERLINK("https://leetcode.com/problems/trim-a-binary-search-tree","trim-a-binary-search-tree")</f>
        <v/>
      </c>
      <c r="D793" t="inlineStr">
        <is>
          <t>-</t>
        </is>
      </c>
      <c r="E793" t="inlineStr">
        <is>
          <t>Medium</t>
        </is>
      </c>
      <c r="F793" t="n">
        <v>17</v>
      </c>
      <c r="G793" t="inlineStr">
        <is>
          <t>Binary Search Tree</t>
        </is>
      </c>
      <c r="H793" t="inlineStr">
        <is>
          <t>Construction of BST</t>
        </is>
      </c>
      <c r="I793" t="inlineStr">
        <is>
          <t>Leetcode</t>
        </is>
      </c>
      <c r="J793" t="inlineStr">
        <is>
          <t>Problem</t>
        </is>
      </c>
    </row>
    <row r="794">
      <c r="A794" t="n">
        <v>859</v>
      </c>
      <c r="B794" t="inlineStr">
        <is>
          <t>Serialize and Deserialize BST</t>
        </is>
      </c>
      <c r="C794">
        <f>HYPERLINK("https://leetcode.com/problems/serialize-and-deserialize-bst","serialize-and-deserialize-bst")</f>
        <v/>
      </c>
      <c r="D794" t="inlineStr">
        <is>
          <t>-</t>
        </is>
      </c>
      <c r="E794" t="inlineStr">
        <is>
          <t>Medium</t>
        </is>
      </c>
      <c r="F794" t="n">
        <v>17</v>
      </c>
      <c r="G794" t="inlineStr">
        <is>
          <t>Binary Search Tree</t>
        </is>
      </c>
      <c r="H794" t="inlineStr">
        <is>
          <t>Construction of BST</t>
        </is>
      </c>
      <c r="I794" t="inlineStr">
        <is>
          <t>Leetcode</t>
        </is>
      </c>
      <c r="J794" t="inlineStr">
        <is>
          <t>Problem</t>
        </is>
      </c>
    </row>
    <row r="795">
      <c r="A795" t="n">
        <v>837</v>
      </c>
      <c r="B795" t="inlineStr">
        <is>
          <t>Construct Binary Search Tree from Preorder Traversal</t>
        </is>
      </c>
      <c r="C795">
        <f>HYPERLINK("https://leetcode.com/problems/construct-binary-search-tree-from-preorder-traversal/","construct-binary-search-tree-from-preorder-traversal")</f>
        <v/>
      </c>
      <c r="D795" t="inlineStr">
        <is>
          <t>-</t>
        </is>
      </c>
      <c r="E795" t="inlineStr">
        <is>
          <t>Medium</t>
        </is>
      </c>
      <c r="F795" t="n">
        <v>17</v>
      </c>
      <c r="G795" t="inlineStr">
        <is>
          <t>Binary Search Tree</t>
        </is>
      </c>
      <c r="H795" t="inlineStr">
        <is>
          <t>Construction of BST</t>
        </is>
      </c>
      <c r="I795" t="inlineStr">
        <is>
          <t>Leetcode</t>
        </is>
      </c>
      <c r="J795" t="inlineStr">
        <is>
          <t>Problem</t>
        </is>
      </c>
    </row>
    <row r="796">
      <c r="A796" t="n">
        <v>1463</v>
      </c>
      <c r="B796" t="inlineStr">
        <is>
          <t>Construct BST from Postorder</t>
        </is>
      </c>
      <c r="C796">
        <f>HYPERLINK("https://www.geeksforgeeks.org/problems/construct-bst-from-post-order/1","Solve Problem")</f>
        <v/>
      </c>
      <c r="D796" t="inlineStr">
        <is>
          <t>-</t>
        </is>
      </c>
      <c r="E796" t="inlineStr">
        <is>
          <t>Medium</t>
        </is>
      </c>
      <c r="F796" t="n">
        <v>17</v>
      </c>
      <c r="G796" t="inlineStr">
        <is>
          <t>Binary Search Tree</t>
        </is>
      </c>
      <c r="H796" t="inlineStr">
        <is>
          <t>Construction of BST</t>
        </is>
      </c>
      <c r="I796" t="inlineStr">
        <is>
          <t>Geeksforgeeks</t>
        </is>
      </c>
      <c r="J796" t="inlineStr">
        <is>
          <t>Problem</t>
        </is>
      </c>
    </row>
    <row r="797">
      <c r="A797" t="n">
        <v>832</v>
      </c>
      <c r="B797" t="inlineStr">
        <is>
          <t>Balance a Binary Search Tree</t>
        </is>
      </c>
      <c r="C797">
        <f>HYPERLINK("https://leetcode.com/problems/balance-a-binary-search-tree","balance-a-binary-search-tree")</f>
        <v/>
      </c>
      <c r="D797" t="inlineStr">
        <is>
          <t>-</t>
        </is>
      </c>
      <c r="E797" t="inlineStr">
        <is>
          <t>Medium</t>
        </is>
      </c>
      <c r="F797" t="n">
        <v>17</v>
      </c>
      <c r="G797" t="inlineStr">
        <is>
          <t>Binary Search Tree</t>
        </is>
      </c>
      <c r="H797" t="inlineStr">
        <is>
          <t>Construction of BST</t>
        </is>
      </c>
      <c r="I797" t="inlineStr">
        <is>
          <t>Leetcode</t>
        </is>
      </c>
      <c r="J797" t="inlineStr">
        <is>
          <t>Problem</t>
        </is>
      </c>
    </row>
    <row r="798">
      <c r="A798" t="n">
        <v>836</v>
      </c>
      <c r="B798" t="inlineStr">
        <is>
          <t>Binary Search Tree to Greater Sum Tree</t>
        </is>
      </c>
      <c r="C798">
        <f>HYPERLINK("https://leetcode.com/problems/binary-search-tree-to-greater-sum-tree","binary-search-tree-to-greater-sum-tree")</f>
        <v/>
      </c>
      <c r="D798" t="inlineStr">
        <is>
          <t>-</t>
        </is>
      </c>
      <c r="E798" t="inlineStr">
        <is>
          <t>Medium</t>
        </is>
      </c>
      <c r="F798" t="n">
        <v>17</v>
      </c>
      <c r="G798" t="inlineStr">
        <is>
          <t>Binary Search Tree</t>
        </is>
      </c>
      <c r="H798" t="inlineStr">
        <is>
          <t>Construction of BST</t>
        </is>
      </c>
      <c r="I798" t="inlineStr">
        <is>
          <t>Leetcode</t>
        </is>
      </c>
      <c r="J798" t="inlineStr">
        <is>
          <t>Problem</t>
        </is>
      </c>
    </row>
    <row r="799">
      <c r="A799" t="n">
        <v>284</v>
      </c>
      <c r="B799" t="inlineStr">
        <is>
          <t>Find Mode in Binary Search Tree</t>
        </is>
      </c>
      <c r="C799">
        <f>HYPERLINK("https://leetcode.com/problems/find-mode-in-binary-search-tree","find-mode-in-binary-search-tree")</f>
        <v/>
      </c>
      <c r="D799" t="inlineStr">
        <is>
          <t>-</t>
        </is>
      </c>
      <c r="E799" t="inlineStr">
        <is>
          <t>Easy</t>
        </is>
      </c>
      <c r="F799" t="n">
        <v>17</v>
      </c>
      <c r="G799" t="inlineStr">
        <is>
          <t>Binary Search Tree</t>
        </is>
      </c>
      <c r="H799" t="inlineStr">
        <is>
          <t>Validation and Property</t>
        </is>
      </c>
      <c r="I799" t="inlineStr">
        <is>
          <t>Leetcode</t>
        </is>
      </c>
      <c r="J799" t="inlineStr">
        <is>
          <t>Problem</t>
        </is>
      </c>
    </row>
    <row r="800">
      <c r="A800" t="n">
        <v>619</v>
      </c>
      <c r="B800" t="inlineStr">
        <is>
          <t>Range Sum of BST</t>
        </is>
      </c>
      <c r="C800">
        <f>HYPERLINK("https://leetcode.com/problems/range-sum-of-bst/","range-sum-of-bst")</f>
        <v/>
      </c>
      <c r="D800" t="inlineStr">
        <is>
          <t>-</t>
        </is>
      </c>
      <c r="E800" t="inlineStr">
        <is>
          <t>Easy</t>
        </is>
      </c>
      <c r="F800" t="n">
        <v>17</v>
      </c>
      <c r="G800" t="inlineStr">
        <is>
          <t>Binary Search Tree</t>
        </is>
      </c>
      <c r="H800" t="inlineStr">
        <is>
          <t>Validation and Property</t>
        </is>
      </c>
      <c r="I800" t="inlineStr">
        <is>
          <t>Leetcode</t>
        </is>
      </c>
      <c r="J800" t="inlineStr">
        <is>
          <t>Problem</t>
        </is>
      </c>
    </row>
    <row r="801">
      <c r="A801" t="n">
        <v>771</v>
      </c>
      <c r="B801" t="inlineStr">
        <is>
          <t>Validate Binary Search Tree</t>
        </is>
      </c>
      <c r="C801">
        <f>HYPERLINK("https://leetcode.com/problems/validate-binary-search-tree/","validate-binary-search-tree")</f>
        <v/>
      </c>
      <c r="D801" t="inlineStr">
        <is>
          <t>-</t>
        </is>
      </c>
      <c r="E801" t="inlineStr">
        <is>
          <t>Medium</t>
        </is>
      </c>
      <c r="F801" t="n">
        <v>17</v>
      </c>
      <c r="G801" t="inlineStr">
        <is>
          <t>Binary Search Tree</t>
        </is>
      </c>
      <c r="H801" t="inlineStr">
        <is>
          <t>Validation and Property</t>
        </is>
      </c>
      <c r="I801" t="inlineStr">
        <is>
          <t>Leetcode</t>
        </is>
      </c>
      <c r="J801" t="inlineStr">
        <is>
          <t>Problem</t>
        </is>
      </c>
    </row>
    <row r="802">
      <c r="A802" t="n">
        <v>386</v>
      </c>
      <c r="B802" t="inlineStr">
        <is>
          <t>Minimum Distance Between BST Nodes</t>
        </is>
      </c>
      <c r="C802">
        <f>HYPERLINK("https://leetcode.com/problems/minimum-distance-between-bst-nodes","minimum-distance-between-bst-nodes")</f>
        <v/>
      </c>
      <c r="D802" t="inlineStr">
        <is>
          <t>-</t>
        </is>
      </c>
      <c r="E802" t="inlineStr">
        <is>
          <t>Easy</t>
        </is>
      </c>
      <c r="F802" t="n">
        <v>17</v>
      </c>
      <c r="G802" t="inlineStr">
        <is>
          <t>Binary Search Tree</t>
        </is>
      </c>
      <c r="H802" t="inlineStr">
        <is>
          <t>Validation and Property</t>
        </is>
      </c>
      <c r="I802" t="inlineStr">
        <is>
          <t>Leetcode</t>
        </is>
      </c>
      <c r="J802" t="inlineStr">
        <is>
          <t>Problem</t>
        </is>
      </c>
    </row>
    <row r="803">
      <c r="A803" t="n">
        <v>231</v>
      </c>
      <c r="B803" t="inlineStr">
        <is>
          <t>Kth Smallest Element in a BST</t>
        </is>
      </c>
      <c r="C803">
        <f>HYPERLINK("https://leetcode.com/problems/kth-smallest-element-in-a-bst/","kth-smallest-element-in-a-bst")</f>
        <v/>
      </c>
      <c r="D803" t="inlineStr">
        <is>
          <t>-</t>
        </is>
      </c>
      <c r="E803" t="inlineStr">
        <is>
          <t>Medium</t>
        </is>
      </c>
      <c r="F803" t="n">
        <v>17</v>
      </c>
      <c r="G803" t="inlineStr">
        <is>
          <t>Binary Search Tree</t>
        </is>
      </c>
      <c r="H803" t="inlineStr">
        <is>
          <t>Validation and Property</t>
        </is>
      </c>
      <c r="I803" t="inlineStr">
        <is>
          <t>Leetcode</t>
        </is>
      </c>
      <c r="J803" t="inlineStr">
        <is>
          <t>Problem</t>
        </is>
      </c>
    </row>
    <row r="804">
      <c r="A804" t="n">
        <v>848</v>
      </c>
      <c r="B804" t="inlineStr">
        <is>
          <t>Increasing Order Search Tree</t>
        </is>
      </c>
      <c r="C804">
        <f>HYPERLINK("https://leetcode.com/problems/increasing-order-search-tree","increasing-order-search-tree")</f>
        <v/>
      </c>
      <c r="D804" t="inlineStr">
        <is>
          <t>-</t>
        </is>
      </c>
      <c r="E804" t="inlineStr">
        <is>
          <t>Easy</t>
        </is>
      </c>
      <c r="F804" t="n">
        <v>17</v>
      </c>
      <c r="G804" t="inlineStr">
        <is>
          <t>Binary Search Tree</t>
        </is>
      </c>
      <c r="H804" t="inlineStr">
        <is>
          <t>Validation and Property</t>
        </is>
      </c>
      <c r="I804" t="inlineStr">
        <is>
          <t>Leetcode</t>
        </is>
      </c>
      <c r="J804" t="inlineStr">
        <is>
          <t>Problem</t>
        </is>
      </c>
    </row>
    <row r="805">
      <c r="A805" t="n">
        <v>756</v>
      </c>
      <c r="B805" t="inlineStr">
        <is>
          <t>Two Sum IV - Input is a BST</t>
        </is>
      </c>
      <c r="C805">
        <f>HYPERLINK("https://leetcode.com/problems/two-sum-iv-input-is-a-bst","two-sum-iv-input-is-a-bst")</f>
        <v/>
      </c>
      <c r="D805" t="inlineStr">
        <is>
          <t>-</t>
        </is>
      </c>
      <c r="E805" t="inlineStr">
        <is>
          <t>Easy</t>
        </is>
      </c>
      <c r="F805" t="n">
        <v>17</v>
      </c>
      <c r="G805" t="inlineStr">
        <is>
          <t>Binary Search Tree</t>
        </is>
      </c>
      <c r="H805" t="inlineStr">
        <is>
          <t>Validation and Property</t>
        </is>
      </c>
      <c r="I805" t="inlineStr">
        <is>
          <t>Leetcode</t>
        </is>
      </c>
      <c r="J805" t="inlineStr">
        <is>
          <t>Problem</t>
        </is>
      </c>
    </row>
    <row r="806">
      <c r="A806" t="n">
        <v>347</v>
      </c>
      <c r="B806" t="inlineStr">
        <is>
          <t>Maximum Sum BST in Binary Tree</t>
        </is>
      </c>
      <c r="C806">
        <f>HYPERLINK("https://leetcode.com/problems/maximum-sum-bst-in-binary-tree","maximum-sum-bst-in-binary-tree")</f>
        <v/>
      </c>
      <c r="D806" t="inlineStr">
        <is>
          <t>-</t>
        </is>
      </c>
      <c r="E806" t="inlineStr">
        <is>
          <t>Hard</t>
        </is>
      </c>
      <c r="F806" t="n">
        <v>17</v>
      </c>
      <c r="G806" t="inlineStr">
        <is>
          <t>Binary Search Tree</t>
        </is>
      </c>
      <c r="H806" t="inlineStr">
        <is>
          <t>Validation and Property</t>
        </is>
      </c>
      <c r="I806" t="inlineStr">
        <is>
          <t>Leetcode</t>
        </is>
      </c>
      <c r="J806" t="inlineStr">
        <is>
          <t>Problem</t>
        </is>
      </c>
    </row>
    <row r="807">
      <c r="A807" t="n">
        <v>1503</v>
      </c>
      <c r="B807" t="inlineStr">
        <is>
          <t>Find Common Nodes in two BSTs</t>
        </is>
      </c>
      <c r="C807">
        <f>HYPERLINK("https://www.geeksforgeeks.org/problems/print-common-nodes-in-bst/1","Solve Problem")</f>
        <v/>
      </c>
      <c r="D807" t="inlineStr">
        <is>
          <t>-</t>
        </is>
      </c>
      <c r="E807" t="inlineStr">
        <is>
          <t>Medium</t>
        </is>
      </c>
      <c r="F807" t="n">
        <v>17</v>
      </c>
      <c r="G807" t="inlineStr">
        <is>
          <t>Binary Search Tree</t>
        </is>
      </c>
      <c r="H807" t="inlineStr">
        <is>
          <t>Validation and Property</t>
        </is>
      </c>
      <c r="I807" t="inlineStr">
        <is>
          <t>Geeksforgeeks</t>
        </is>
      </c>
      <c r="J807" t="inlineStr">
        <is>
          <t>Problem</t>
        </is>
      </c>
    </row>
    <row r="808">
      <c r="A808" t="n">
        <v>33</v>
      </c>
      <c r="B808" t="inlineStr">
        <is>
          <t>All Elements in Two Binary Search Trees</t>
        </is>
      </c>
      <c r="C808">
        <f>HYPERLINK("https://leetcode.com/problems/all-elements-in-two-binary-search-trees/description/","all-elements-in-two-binary-search-trees")</f>
        <v/>
      </c>
      <c r="D808" t="inlineStr">
        <is>
          <t>-</t>
        </is>
      </c>
      <c r="E808" t="inlineStr">
        <is>
          <t>Medium</t>
        </is>
      </c>
      <c r="F808" t="n">
        <v>17</v>
      </c>
      <c r="G808" t="inlineStr">
        <is>
          <t>Binary Search Tree</t>
        </is>
      </c>
      <c r="H808" t="inlineStr">
        <is>
          <t>Validation and Property</t>
        </is>
      </c>
      <c r="I808" t="inlineStr">
        <is>
          <t>Leetcode</t>
        </is>
      </c>
      <c r="J808" t="inlineStr">
        <is>
          <t>Problem</t>
        </is>
      </c>
    </row>
    <row r="809">
      <c r="A809" t="n">
        <v>821</v>
      </c>
      <c r="B809" t="inlineStr">
        <is>
          <t>Unique Binary Search Trees</t>
        </is>
      </c>
      <c r="C809">
        <f>HYPERLINK("https://leetcode.com/problems/unique-binary-search-trees/description/","unique-binary-search-trees")</f>
        <v/>
      </c>
      <c r="D809" t="inlineStr">
        <is>
          <t>-</t>
        </is>
      </c>
      <c r="E809" t="inlineStr">
        <is>
          <t>Medium</t>
        </is>
      </c>
      <c r="F809" t="n">
        <v>17</v>
      </c>
      <c r="G809" t="inlineStr">
        <is>
          <t>Binary Search Tree</t>
        </is>
      </c>
      <c r="H809" t="inlineStr">
        <is>
          <t>Validation and Property</t>
        </is>
      </c>
      <c r="I809" t="inlineStr">
        <is>
          <t>Leetcode</t>
        </is>
      </c>
      <c r="J809" t="inlineStr">
        <is>
          <t>Problem</t>
        </is>
      </c>
    </row>
    <row r="810">
      <c r="A810" t="n">
        <v>856</v>
      </c>
      <c r="B810" t="inlineStr">
        <is>
          <t>Recover Binary Search Tree</t>
        </is>
      </c>
      <c r="C810">
        <f>HYPERLINK("https://leetcode.com/problems/recover-binary-search-tree/description/","recover-binary-search-tree")</f>
        <v/>
      </c>
      <c r="D810" t="inlineStr">
        <is>
          <t>-</t>
        </is>
      </c>
      <c r="E810" t="inlineStr">
        <is>
          <t>Medium</t>
        </is>
      </c>
      <c r="F810" t="n">
        <v>17</v>
      </c>
      <c r="G810" t="inlineStr">
        <is>
          <t>Binary Search Tree</t>
        </is>
      </c>
      <c r="H810" t="inlineStr">
        <is>
          <t>Validation and Property</t>
        </is>
      </c>
      <c r="I810" t="inlineStr">
        <is>
          <t>Leetcode</t>
        </is>
      </c>
      <c r="J810" t="inlineStr">
        <is>
          <t>Problem</t>
        </is>
      </c>
    </row>
    <row r="811">
      <c r="A811" t="n">
        <v>800</v>
      </c>
      <c r="B811" t="inlineStr">
        <is>
          <t>Number of Ways to Reorder Array to Get Same BST</t>
        </is>
      </c>
      <c r="C811">
        <f>HYPERLINK("https://leetcode.com/problems/number-of-ways-to-reorder-array-to-get-same-bst","number-of-ways-to-reorder-array-to-get-same-bst")</f>
        <v/>
      </c>
      <c r="D811" t="inlineStr">
        <is>
          <t>-</t>
        </is>
      </c>
      <c r="E811" t="inlineStr">
        <is>
          <t>Hard</t>
        </is>
      </c>
      <c r="F811" t="n">
        <v>17</v>
      </c>
      <c r="G811" t="inlineStr">
        <is>
          <t>Binary Search Tree</t>
        </is>
      </c>
      <c r="H811" t="inlineStr">
        <is>
          <t>Validation and Property</t>
        </is>
      </c>
      <c r="I811" t="inlineStr">
        <is>
          <t>Leetcode</t>
        </is>
      </c>
      <c r="J811" t="inlineStr">
        <is>
          <t>Problem</t>
        </is>
      </c>
    </row>
    <row r="812">
      <c r="A812" t="n">
        <v>786</v>
      </c>
      <c r="B812" t="inlineStr">
        <is>
          <t>Binary Search Tree Iterator</t>
        </is>
      </c>
      <c r="C812">
        <f>HYPERLINK("https://leetcode.com/problems/binary-search-tree-iterator/","binary-search-tree-iterator")</f>
        <v/>
      </c>
      <c r="D812" t="inlineStr">
        <is>
          <t>-</t>
        </is>
      </c>
      <c r="E812" t="inlineStr">
        <is>
          <t>Medium</t>
        </is>
      </c>
      <c r="F812" t="n">
        <v>17</v>
      </c>
      <c r="G812" t="inlineStr">
        <is>
          <t>Binary Search Tree</t>
        </is>
      </c>
      <c r="H812" t="inlineStr">
        <is>
          <t>Validation and Property</t>
        </is>
      </c>
      <c r="I812" t="inlineStr">
        <is>
          <t>Leetcode</t>
        </is>
      </c>
      <c r="J812" t="inlineStr">
        <is>
          <t>Problem</t>
        </is>
      </c>
    </row>
    <row r="813">
      <c r="A813" t="n">
        <v>850</v>
      </c>
      <c r="B813" t="inlineStr">
        <is>
          <t>Lowest Common Ancestor of a Binary Search Tree</t>
        </is>
      </c>
      <c r="C813">
        <f>HYPERLINK("https://leetcode.com/problems/lowest-common-ancestor-of-a-binary-search-tree","lowest-common-ancestor-of-a-binary-search-tree")</f>
        <v/>
      </c>
      <c r="D813" t="inlineStr">
        <is>
          <t>-</t>
        </is>
      </c>
      <c r="E813" t="inlineStr">
        <is>
          <t>Medium</t>
        </is>
      </c>
      <c r="F813" t="n">
        <v>17</v>
      </c>
      <c r="G813" t="inlineStr">
        <is>
          <t>Binary Search Tree</t>
        </is>
      </c>
      <c r="H813" t="inlineStr">
        <is>
          <t>Validation and Property</t>
        </is>
      </c>
      <c r="I813" t="inlineStr">
        <is>
          <t>Leetcode</t>
        </is>
      </c>
      <c r="J813" t="inlineStr">
        <is>
          <t>Problem</t>
        </is>
      </c>
    </row>
    <row r="814">
      <c r="A814" t="n">
        <v>82</v>
      </c>
      <c r="B814" t="inlineStr">
        <is>
          <t>Closest Nodes Queries in a Binary Search Tree</t>
        </is>
      </c>
      <c r="C814">
        <f>HYPERLINK("https://leetcode.com/problems/closest-nodes-queries-in-a-binary-search-tree","closest-nodes-queries-in-a-binary-search-tree")</f>
        <v/>
      </c>
      <c r="D814" t="inlineStr">
        <is>
          <t>-</t>
        </is>
      </c>
      <c r="E814" t="inlineStr">
        <is>
          <t>Medium</t>
        </is>
      </c>
      <c r="F814" t="n">
        <v>17</v>
      </c>
      <c r="G814" t="inlineStr">
        <is>
          <t>Binary Search Tree</t>
        </is>
      </c>
      <c r="H814" t="inlineStr">
        <is>
          <t>Validation and Property</t>
        </is>
      </c>
      <c r="I814" t="inlineStr">
        <is>
          <t>Leetcode</t>
        </is>
      </c>
      <c r="J814" t="inlineStr">
        <is>
          <t>Problem</t>
        </is>
      </c>
    </row>
    <row r="815">
      <c r="A815" t="n">
        <v>1482</v>
      </c>
      <c r="B815" t="inlineStr">
        <is>
          <t>Implementation of Priority Queue using Binary Heap</t>
        </is>
      </c>
      <c r="C815">
        <f>HYPERLINK("https://www.geeksforgeeks.org/problems/implementation-of-priority-queue-using-binary-heap/1","Solve Problem")</f>
        <v/>
      </c>
      <c r="D815" t="inlineStr">
        <is>
          <t>-</t>
        </is>
      </c>
      <c r="E815" t="inlineStr">
        <is>
          <t>Easy</t>
        </is>
      </c>
      <c r="F815" t="n">
        <v>18</v>
      </c>
      <c r="G815" t="inlineStr">
        <is>
          <t>Heap (Priority Queue)</t>
        </is>
      </c>
      <c r="H815" t="inlineStr">
        <is>
          <t>Introductory Questions</t>
        </is>
      </c>
      <c r="I815" t="inlineStr">
        <is>
          <t>Geeksforgeeks</t>
        </is>
      </c>
      <c r="J815" t="inlineStr">
        <is>
          <t>Problem</t>
        </is>
      </c>
    </row>
    <row r="816">
      <c r="A816" t="n">
        <v>1481</v>
      </c>
      <c r="B816" t="inlineStr">
        <is>
          <t>Heap Sort</t>
        </is>
      </c>
      <c r="C816">
        <f>HYPERLINK("https://www.geeksforgeeks.org/problems/heap-sort/1","Solve Problem")</f>
        <v/>
      </c>
      <c r="D816" t="inlineStr">
        <is>
          <t>-</t>
        </is>
      </c>
      <c r="E816" t="inlineStr">
        <is>
          <t>Medium</t>
        </is>
      </c>
      <c r="F816" t="n">
        <v>18</v>
      </c>
      <c r="G816" t="inlineStr">
        <is>
          <t>Heap (Priority Queue)</t>
        </is>
      </c>
      <c r="H816" t="inlineStr">
        <is>
          <t>Introductory Questions</t>
        </is>
      </c>
      <c r="I816" t="inlineStr">
        <is>
          <t>Geeksforgeeks</t>
        </is>
      </c>
      <c r="J816" t="inlineStr">
        <is>
          <t>Problem</t>
        </is>
      </c>
    </row>
    <row r="817">
      <c r="A817" t="n">
        <v>1472</v>
      </c>
      <c r="B817" t="inlineStr">
        <is>
          <t>Does Array Represent Heap?</t>
        </is>
      </c>
      <c r="C817">
        <f>HYPERLINK("https://www.geeksforgeeks.org/problems/does-array-represent-heap4345/1","Solve Problem")</f>
        <v/>
      </c>
      <c r="D817" t="inlineStr">
        <is>
          <t>-</t>
        </is>
      </c>
      <c r="E817" t="inlineStr">
        <is>
          <t>Easy</t>
        </is>
      </c>
      <c r="F817" t="n">
        <v>18</v>
      </c>
      <c r="G817" t="inlineStr">
        <is>
          <t>Heap (Priority Queue)</t>
        </is>
      </c>
      <c r="H817" t="inlineStr">
        <is>
          <t>Introductory Questions</t>
        </is>
      </c>
      <c r="I817" t="inlineStr">
        <is>
          <t>Geeksforgeeks</t>
        </is>
      </c>
      <c r="J817" t="inlineStr">
        <is>
          <t>Problem</t>
        </is>
      </c>
    </row>
    <row r="818">
      <c r="A818" t="n">
        <v>1487</v>
      </c>
      <c r="B818" t="inlineStr">
        <is>
          <t>Is Binary Tree Heap?</t>
        </is>
      </c>
      <c r="C818">
        <f>HYPERLINK("https://www.geeksforgeeks.org/problems/is-binary-tree-heap/1","Solve Problem")</f>
        <v/>
      </c>
      <c r="D818" t="inlineStr">
        <is>
          <t>-</t>
        </is>
      </c>
      <c r="E818" t="inlineStr">
        <is>
          <t>Medium</t>
        </is>
      </c>
      <c r="F818" t="n">
        <v>18</v>
      </c>
      <c r="G818" t="inlineStr">
        <is>
          <t>Heap (Priority Queue)</t>
        </is>
      </c>
      <c r="H818" t="inlineStr">
        <is>
          <t>Introductory Questions</t>
        </is>
      </c>
      <c r="I818" t="inlineStr">
        <is>
          <t>Geeksforgeeks</t>
        </is>
      </c>
      <c r="J818" t="inlineStr">
        <is>
          <t>Problem</t>
        </is>
      </c>
    </row>
    <row r="819">
      <c r="A819" t="n">
        <v>1505</v>
      </c>
      <c r="B819" t="inlineStr">
        <is>
          <t>Operations on Binary Min Heap</t>
        </is>
      </c>
      <c r="C819">
        <f>HYPERLINK("https://www.geeksforgeeks.org/problems/operations-on-binary-min-heap/1","Solve Problem")</f>
        <v/>
      </c>
      <c r="D819" t="inlineStr">
        <is>
          <t>-</t>
        </is>
      </c>
      <c r="E819" t="inlineStr">
        <is>
          <t>Medium</t>
        </is>
      </c>
      <c r="F819" t="n">
        <v>18</v>
      </c>
      <c r="G819" t="inlineStr">
        <is>
          <t>Heap (Priority Queue)</t>
        </is>
      </c>
      <c r="H819" t="inlineStr">
        <is>
          <t>Introductory Questions</t>
        </is>
      </c>
      <c r="I819" t="inlineStr">
        <is>
          <t>Geeksforgeeks</t>
        </is>
      </c>
      <c r="J819" t="inlineStr">
        <is>
          <t>Problem</t>
        </is>
      </c>
    </row>
    <row r="820">
      <c r="A820" t="n">
        <v>1470</v>
      </c>
      <c r="B820" t="inlineStr">
        <is>
          <t>Convert Min Heap to Max Heap</t>
        </is>
      </c>
      <c r="C820">
        <f>HYPERLINK("https://www.geeksforgeeks.org/problems/convert-min-heap-to-max-heap-1666385109/1","Solve Problem")</f>
        <v/>
      </c>
      <c r="D820" t="inlineStr">
        <is>
          <t>-</t>
        </is>
      </c>
      <c r="E820" t="inlineStr">
        <is>
          <t>Medium</t>
        </is>
      </c>
      <c r="F820" t="n">
        <v>18</v>
      </c>
      <c r="G820" t="inlineStr">
        <is>
          <t>Heap (Priority Queue)</t>
        </is>
      </c>
      <c r="H820" t="inlineStr">
        <is>
          <t>Introductory Questions</t>
        </is>
      </c>
      <c r="I820" t="inlineStr">
        <is>
          <t>Geeksforgeeks</t>
        </is>
      </c>
      <c r="J820" t="inlineStr">
        <is>
          <t>Problem</t>
        </is>
      </c>
    </row>
    <row r="821">
      <c r="A821" t="n">
        <v>632</v>
      </c>
      <c r="B821" t="inlineStr">
        <is>
          <t>Relative Ranks</t>
        </is>
      </c>
      <c r="C821">
        <f>HYPERLINK("https://leetcode.com/problems/relative-ranks/","relative-ranks")</f>
        <v/>
      </c>
      <c r="D821" t="inlineStr">
        <is>
          <t>-</t>
        </is>
      </c>
      <c r="E821" t="inlineStr">
        <is>
          <t>Easy</t>
        </is>
      </c>
      <c r="F821" t="n">
        <v>18</v>
      </c>
      <c r="G821" t="inlineStr">
        <is>
          <t>Heap (Priority Queue)</t>
        </is>
      </c>
      <c r="H821" t="inlineStr">
        <is>
          <t>Implementary Questions</t>
        </is>
      </c>
      <c r="I821" t="inlineStr">
        <is>
          <t>Leetcode</t>
        </is>
      </c>
      <c r="J821" t="inlineStr">
        <is>
          <t>Problem</t>
        </is>
      </c>
    </row>
    <row r="822">
      <c r="A822" t="n">
        <v>738</v>
      </c>
      <c r="B822" t="inlineStr">
        <is>
          <t>Take Gifts From the Richest Pile</t>
        </is>
      </c>
      <c r="C822">
        <f>HYPERLINK("https://leetcode.com/problems/take-gifts-from-the-richest-pile/","take-gifts-from-the-richest-pile")</f>
        <v/>
      </c>
      <c r="D822" t="inlineStr">
        <is>
          <t>-</t>
        </is>
      </c>
      <c r="E822" t="inlineStr">
        <is>
          <t>Easy</t>
        </is>
      </c>
      <c r="F822" t="n">
        <v>18</v>
      </c>
      <c r="G822" t="inlineStr">
        <is>
          <t>Heap (Priority Queue)</t>
        </is>
      </c>
      <c r="H822" t="inlineStr">
        <is>
          <t>Implementary Questions</t>
        </is>
      </c>
      <c r="I822" t="inlineStr">
        <is>
          <t>Leetcode</t>
        </is>
      </c>
      <c r="J822" t="inlineStr">
        <is>
          <t>Problem</t>
        </is>
      </c>
    </row>
    <row r="823">
      <c r="A823" t="n">
        <v>242</v>
      </c>
      <c r="B823" t="inlineStr">
        <is>
          <t>Last Stone Weight</t>
        </is>
      </c>
      <c r="C823">
        <f>HYPERLINK("https://leetcode.com/problems/last-stone-weight/","last-stone-weight")</f>
        <v/>
      </c>
      <c r="D823" t="inlineStr">
        <is>
          <t>-</t>
        </is>
      </c>
      <c r="E823" t="inlineStr">
        <is>
          <t>Easy</t>
        </is>
      </c>
      <c r="F823" t="n">
        <v>18</v>
      </c>
      <c r="G823" t="inlineStr">
        <is>
          <t>Heap (Priority Queue)</t>
        </is>
      </c>
      <c r="H823" t="inlineStr">
        <is>
          <t>Implementary Questions</t>
        </is>
      </c>
      <c r="I823" t="inlineStr">
        <is>
          <t>Leetcode</t>
        </is>
      </c>
      <c r="J823" t="inlineStr">
        <is>
          <t>Problem</t>
        </is>
      </c>
    </row>
    <row r="824">
      <c r="A824" t="n">
        <v>238</v>
      </c>
      <c r="B824" t="inlineStr">
        <is>
          <t>Largest Number After Digit Swaps by Parity</t>
        </is>
      </c>
      <c r="C824">
        <f>HYPERLINK("https://leetcode.com/problems/largest-number-after-digit-swaps-by-parity/","largest-number-after-digit-swaps-by-parity")</f>
        <v/>
      </c>
      <c r="D824" t="inlineStr">
        <is>
          <t>-</t>
        </is>
      </c>
      <c r="E824" t="inlineStr">
        <is>
          <t>Easy</t>
        </is>
      </c>
      <c r="F824" t="n">
        <v>18</v>
      </c>
      <c r="G824" t="inlineStr">
        <is>
          <t>Heap (Priority Queue)</t>
        </is>
      </c>
      <c r="H824" t="inlineStr">
        <is>
          <t>Implementary Questions</t>
        </is>
      </c>
      <c r="I824" t="inlineStr">
        <is>
          <t>Leetcode</t>
        </is>
      </c>
      <c r="J824" t="inlineStr">
        <is>
          <t>Problem</t>
        </is>
      </c>
    </row>
    <row r="825">
      <c r="A825" t="n">
        <v>370</v>
      </c>
      <c r="B825" t="inlineStr">
        <is>
          <t>Minimum Amount of Time to Fill Cups</t>
        </is>
      </c>
      <c r="C825">
        <f>HYPERLINK("https://leetcode.com/problems/minimum-amount-of-time-to-fill-cups/","minimum-amount-of-time-to-fill-cups")</f>
        <v/>
      </c>
      <c r="D825" t="inlineStr">
        <is>
          <t>-</t>
        </is>
      </c>
      <c r="E825" t="inlineStr">
        <is>
          <t>Easy</t>
        </is>
      </c>
      <c r="F825" t="n">
        <v>18</v>
      </c>
      <c r="G825" t="inlineStr">
        <is>
          <t>Heap (Priority Queue)</t>
        </is>
      </c>
      <c r="H825" t="inlineStr">
        <is>
          <t>Implementary Questions</t>
        </is>
      </c>
      <c r="I825" t="inlineStr">
        <is>
          <t>Leetcode</t>
        </is>
      </c>
      <c r="J825" t="inlineStr">
        <is>
          <t>Problem</t>
        </is>
      </c>
    </row>
    <row r="826">
      <c r="A826" t="n">
        <v>674</v>
      </c>
      <c r="B826" t="inlineStr">
        <is>
          <t>Seat Reservation Manager</t>
        </is>
      </c>
      <c r="C826">
        <f>HYPERLINK("https://leetcode.com/problems/seat-reservation-manager/","seat-reservation-manager")</f>
        <v/>
      </c>
      <c r="D826" t="inlineStr">
        <is>
          <t>-</t>
        </is>
      </c>
      <c r="E826" t="inlineStr">
        <is>
          <t>Medium</t>
        </is>
      </c>
      <c r="F826" t="n">
        <v>18</v>
      </c>
      <c r="G826" t="inlineStr">
        <is>
          <t>Heap (Priority Queue)</t>
        </is>
      </c>
      <c r="H826" t="inlineStr">
        <is>
          <t>Implementary Questions</t>
        </is>
      </c>
      <c r="I826" t="inlineStr">
        <is>
          <t>Leetcode</t>
        </is>
      </c>
      <c r="J826" t="inlineStr">
        <is>
          <t>Problem</t>
        </is>
      </c>
    </row>
    <row r="827">
      <c r="A827" t="n">
        <v>701</v>
      </c>
      <c r="B827" t="inlineStr">
        <is>
          <t>Sort Characters By Frequency</t>
        </is>
      </c>
      <c r="C827">
        <f>HYPERLINK("https://leetcode.com/problems/sort-characters-by-frequency/description/","sort-characters-by-frequency")</f>
        <v/>
      </c>
      <c r="D827" t="inlineStr">
        <is>
          <t>-</t>
        </is>
      </c>
      <c r="E827" t="inlineStr">
        <is>
          <t>Medium</t>
        </is>
      </c>
      <c r="F827" t="n">
        <v>18</v>
      </c>
      <c r="G827" t="inlineStr">
        <is>
          <t>Heap (Priority Queue)</t>
        </is>
      </c>
      <c r="H827" t="inlineStr">
        <is>
          <t>Implementary Questions</t>
        </is>
      </c>
      <c r="I827" t="inlineStr">
        <is>
          <t>Leetcode</t>
        </is>
      </c>
      <c r="J827" t="inlineStr">
        <is>
          <t>Problem</t>
        </is>
      </c>
    </row>
    <row r="828">
      <c r="A828" t="n">
        <v>629</v>
      </c>
      <c r="B828" t="inlineStr">
        <is>
          <t>Reduce Array Size to The Half</t>
        </is>
      </c>
      <c r="C828">
        <f>HYPERLINK("https://leetcode.com/problems/reduce-array-size-to-the-half/description/","reduce-array-size-to-the-half")</f>
        <v/>
      </c>
      <c r="D828" t="inlineStr">
        <is>
          <t>-</t>
        </is>
      </c>
      <c r="E828" t="inlineStr">
        <is>
          <t>Medium</t>
        </is>
      </c>
      <c r="F828" t="n">
        <v>18</v>
      </c>
      <c r="G828" t="inlineStr">
        <is>
          <t>Heap (Priority Queue)</t>
        </is>
      </c>
      <c r="H828" t="inlineStr">
        <is>
          <t>Implementary Questions</t>
        </is>
      </c>
      <c r="I828" t="inlineStr">
        <is>
          <t>Leetcode</t>
        </is>
      </c>
      <c r="J828" t="inlineStr">
        <is>
          <t>Problem</t>
        </is>
      </c>
    </row>
    <row r="829">
      <c r="A829" t="n">
        <v>260</v>
      </c>
      <c r="B829" t="inlineStr">
        <is>
          <t>Longest Happy String</t>
        </is>
      </c>
      <c r="C829">
        <f>HYPERLINK("https://leetcode.com/problems/longest-happy-string/","longest-happy-string")</f>
        <v/>
      </c>
      <c r="D829" t="inlineStr">
        <is>
          <t>-</t>
        </is>
      </c>
      <c r="E829" t="inlineStr">
        <is>
          <t>Medium</t>
        </is>
      </c>
      <c r="F829" t="n">
        <v>18</v>
      </c>
      <c r="G829" t="inlineStr">
        <is>
          <t>Heap (Priority Queue)</t>
        </is>
      </c>
      <c r="H829" t="inlineStr">
        <is>
          <t>Implementary Questions</t>
        </is>
      </c>
      <c r="I829" t="inlineStr">
        <is>
          <t>Leetcode</t>
        </is>
      </c>
      <c r="J829" t="inlineStr">
        <is>
          <t>Problem</t>
        </is>
      </c>
    </row>
    <row r="830">
      <c r="A830" t="n">
        <v>645</v>
      </c>
      <c r="B830" t="inlineStr">
        <is>
          <t>Reorganize String</t>
        </is>
      </c>
      <c r="C830">
        <f>HYPERLINK("https://leetcode.com/problems/reorganize-string/","reorganize-string")</f>
        <v/>
      </c>
      <c r="D830" t="inlineStr">
        <is>
          <t>-</t>
        </is>
      </c>
      <c r="E830" t="inlineStr">
        <is>
          <t>Medium</t>
        </is>
      </c>
      <c r="F830" t="n">
        <v>18</v>
      </c>
      <c r="G830" t="inlineStr">
        <is>
          <t>Heap (Priority Queue)</t>
        </is>
      </c>
      <c r="H830" t="inlineStr">
        <is>
          <t>Implementary Questions</t>
        </is>
      </c>
      <c r="I830" t="inlineStr">
        <is>
          <t>Leetcode</t>
        </is>
      </c>
      <c r="J830" t="inlineStr">
        <is>
          <t>Problem</t>
        </is>
      </c>
    </row>
    <row r="831">
      <c r="A831" t="n">
        <v>507</v>
      </c>
      <c r="B831" t="inlineStr">
        <is>
          <t>Maximum Average Pass Ratio</t>
        </is>
      </c>
      <c r="C831">
        <f>HYPERLINK("https://leetcode.com/problems/maximum-average-pass-ratio/","maximum-average-pass-ratio")</f>
        <v/>
      </c>
      <c r="D831" t="inlineStr">
        <is>
          <t>-</t>
        </is>
      </c>
      <c r="E831" t="inlineStr">
        <is>
          <t>Medium</t>
        </is>
      </c>
      <c r="F831" t="n">
        <v>18</v>
      </c>
      <c r="G831" t="inlineStr">
        <is>
          <t>Heap (Priority Queue)</t>
        </is>
      </c>
      <c r="H831" t="inlineStr">
        <is>
          <t>Implementary Questions</t>
        </is>
      </c>
      <c r="I831" t="inlineStr">
        <is>
          <t>Leetcode</t>
        </is>
      </c>
      <c r="J831" t="inlineStr">
        <is>
          <t>Problem</t>
        </is>
      </c>
    </row>
    <row r="832">
      <c r="A832" t="n">
        <v>178</v>
      </c>
      <c r="B832" t="inlineStr">
        <is>
          <t>Find Score of an Array After Marking All Elements</t>
        </is>
      </c>
      <c r="C832">
        <f>HYPERLINK("https://leetcode.com/problems/find-score-of-an-array-after-marking-all-elements/","find-score-of-an-array-after-marking-all-elements")</f>
        <v/>
      </c>
      <c r="D832" t="inlineStr">
        <is>
          <t>-</t>
        </is>
      </c>
      <c r="E832" t="inlineStr">
        <is>
          <t>Medium</t>
        </is>
      </c>
      <c r="F832" t="n">
        <v>18</v>
      </c>
      <c r="G832" t="inlineStr">
        <is>
          <t>Heap (Priority Queue)</t>
        </is>
      </c>
      <c r="H832" t="inlineStr">
        <is>
          <t>Implementary Questions</t>
        </is>
      </c>
      <c r="I832" t="inlineStr">
        <is>
          <t>Leetcode</t>
        </is>
      </c>
      <c r="J832" t="inlineStr">
        <is>
          <t>Problem</t>
        </is>
      </c>
    </row>
    <row r="833">
      <c r="A833" t="n">
        <v>204</v>
      </c>
      <c r="B833" t="inlineStr">
        <is>
          <t>Furthest Building You Can Reach</t>
        </is>
      </c>
      <c r="C833">
        <f>HYPERLINK("https://leetcode.com/problems/furthest-building-you-can-reach/","furthest-building-you-can-reach")</f>
        <v/>
      </c>
      <c r="D833" t="inlineStr">
        <is>
          <t>-</t>
        </is>
      </c>
      <c r="E833" t="inlineStr">
        <is>
          <t>Medium</t>
        </is>
      </c>
      <c r="F833" t="n">
        <v>18</v>
      </c>
      <c r="G833" t="inlineStr">
        <is>
          <t>Heap (Priority Queue)</t>
        </is>
      </c>
      <c r="H833" t="inlineStr">
        <is>
          <t>Implementary Questions</t>
        </is>
      </c>
      <c r="I833" t="inlineStr">
        <is>
          <t>Leetcode</t>
        </is>
      </c>
      <c r="J833" t="inlineStr">
        <is>
          <t>Problem</t>
        </is>
      </c>
    </row>
    <row r="834">
      <c r="A834" t="n">
        <v>141</v>
      </c>
      <c r="B834" t="inlineStr">
        <is>
          <t>Distant Barcodes</t>
        </is>
      </c>
      <c r="C834">
        <f>HYPERLINK("https://leetcode.com/problems/distant-barcodes/","distant-barcodes")</f>
        <v/>
      </c>
      <c r="D834" t="inlineStr">
        <is>
          <t>-</t>
        </is>
      </c>
      <c r="E834" t="inlineStr">
        <is>
          <t>Medium</t>
        </is>
      </c>
      <c r="F834" t="n">
        <v>18</v>
      </c>
      <c r="G834" t="inlineStr">
        <is>
          <t>Heap (Priority Queue)</t>
        </is>
      </c>
      <c r="H834" t="inlineStr">
        <is>
          <t>Implementary Questions</t>
        </is>
      </c>
      <c r="I834" t="inlineStr">
        <is>
          <t>Leetcode</t>
        </is>
      </c>
      <c r="J834" t="inlineStr">
        <is>
          <t>Problem</t>
        </is>
      </c>
    </row>
    <row r="835">
      <c r="A835" t="n">
        <v>739</v>
      </c>
      <c r="B835" t="inlineStr">
        <is>
          <t>Task Scheduler</t>
        </is>
      </c>
      <c r="C835">
        <f>HYPERLINK("https://leetcode.com/problems/task-scheduler/","task-scheduler")</f>
        <v/>
      </c>
      <c r="D835" t="inlineStr">
        <is>
          <t>-</t>
        </is>
      </c>
      <c r="E835" t="inlineStr">
        <is>
          <t>Medium</t>
        </is>
      </c>
      <c r="F835" t="n">
        <v>18</v>
      </c>
      <c r="G835" t="inlineStr">
        <is>
          <t>Heap (Priority Queue)</t>
        </is>
      </c>
      <c r="H835" t="inlineStr">
        <is>
          <t>Implementary Questions</t>
        </is>
      </c>
      <c r="I835" t="inlineStr">
        <is>
          <t>Leetcode</t>
        </is>
      </c>
      <c r="J835" t="inlineStr">
        <is>
          <t>Problem</t>
        </is>
      </c>
    </row>
    <row r="836">
      <c r="A836" t="n">
        <v>306</v>
      </c>
      <c r="B836" t="inlineStr">
        <is>
          <t>Maximal Score After Applying K Operations</t>
        </is>
      </c>
      <c r="C836">
        <f>HYPERLINK("https://leetcode.com/problems/maximal-score-after-applying-k-operations/","maximal-score-after-applying-k-operations")</f>
        <v/>
      </c>
      <c r="D836" t="inlineStr">
        <is>
          <t>-</t>
        </is>
      </c>
      <c r="E836" t="inlineStr">
        <is>
          <t>Medium</t>
        </is>
      </c>
      <c r="F836" t="n">
        <v>18</v>
      </c>
      <c r="G836" t="inlineStr">
        <is>
          <t>Heap (Priority Queue)</t>
        </is>
      </c>
      <c r="H836" t="inlineStr">
        <is>
          <t>Implementary Questions</t>
        </is>
      </c>
      <c r="I836" t="inlineStr">
        <is>
          <t>Leetcode</t>
        </is>
      </c>
      <c r="J836" t="inlineStr">
        <is>
          <t>Problem</t>
        </is>
      </c>
    </row>
    <row r="837">
      <c r="A837" t="n">
        <v>693</v>
      </c>
      <c r="B837" t="inlineStr">
        <is>
          <t>Single Threaded CPU</t>
        </is>
      </c>
      <c r="C837">
        <f>HYPERLINK("https://leetcode.com/problems/single-threaded-cpu/","single-threaded-cpu")</f>
        <v/>
      </c>
      <c r="D837" t="inlineStr">
        <is>
          <t>-</t>
        </is>
      </c>
      <c r="E837" t="inlineStr">
        <is>
          <t>Medium</t>
        </is>
      </c>
      <c r="F837" t="n">
        <v>18</v>
      </c>
      <c r="G837" t="inlineStr">
        <is>
          <t>Heap (Priority Queue)</t>
        </is>
      </c>
      <c r="H837" t="inlineStr">
        <is>
          <t>Implementary Questions</t>
        </is>
      </c>
      <c r="I837" t="inlineStr">
        <is>
          <t>Leetcode</t>
        </is>
      </c>
      <c r="J837" t="inlineStr">
        <is>
          <t>Problem</t>
        </is>
      </c>
    </row>
    <row r="838">
      <c r="A838" t="n">
        <v>835</v>
      </c>
      <c r="B838" t="inlineStr">
        <is>
          <t>Most Popular Video Creator</t>
        </is>
      </c>
      <c r="C838">
        <f>HYPERLINK("https://leetcode.com/problems/most-popular-video-creator/","most-popular-video-creator")</f>
        <v/>
      </c>
      <c r="D838" t="inlineStr">
        <is>
          <t>-</t>
        </is>
      </c>
      <c r="E838" t="inlineStr">
        <is>
          <t>Medium</t>
        </is>
      </c>
      <c r="F838" t="n">
        <v>18</v>
      </c>
      <c r="G838" t="inlineStr">
        <is>
          <t>Heap (Priority Queue)</t>
        </is>
      </c>
      <c r="H838" t="inlineStr">
        <is>
          <t>Implementary Questions</t>
        </is>
      </c>
      <c r="I838" t="inlineStr">
        <is>
          <t>Leetcode</t>
        </is>
      </c>
      <c r="J838" t="inlineStr">
        <is>
          <t>Problem</t>
        </is>
      </c>
    </row>
    <row r="839">
      <c r="A839" t="n">
        <v>820</v>
      </c>
      <c r="B839" t="inlineStr">
        <is>
          <t>Total Cost to Hire K Workers</t>
        </is>
      </c>
      <c r="C839">
        <f>HYPERLINK("https://leetcode.com/problems/total-cost-to-hire-k-workers/description/","total-cost-to-hire-k-workers")</f>
        <v/>
      </c>
      <c r="D839" t="inlineStr">
        <is>
          <t>-</t>
        </is>
      </c>
      <c r="E839" t="inlineStr">
        <is>
          <t>Medium</t>
        </is>
      </c>
      <c r="F839" t="n">
        <v>18</v>
      </c>
      <c r="G839" t="inlineStr">
        <is>
          <t>Heap (Priority Queue)</t>
        </is>
      </c>
      <c r="H839" t="inlineStr">
        <is>
          <t>Implementary Questions</t>
        </is>
      </c>
      <c r="I839" t="inlineStr">
        <is>
          <t>Leetcode</t>
        </is>
      </c>
      <c r="J839" t="inlineStr">
        <is>
          <t>Problem</t>
        </is>
      </c>
    </row>
    <row r="840">
      <c r="A840" t="n">
        <v>536</v>
      </c>
      <c r="B840" t="inlineStr">
        <is>
          <t>Most Frequent IDs</t>
        </is>
      </c>
      <c r="C840">
        <f>HYPERLINK("https://leetcode.com/problems/most-frequent-ids/description/","most-frequent-ids")</f>
        <v/>
      </c>
      <c r="D840" t="inlineStr">
        <is>
          <t>-</t>
        </is>
      </c>
      <c r="E840" t="inlineStr">
        <is>
          <t>Medium</t>
        </is>
      </c>
      <c r="F840" t="n">
        <v>18</v>
      </c>
      <c r="G840" t="inlineStr">
        <is>
          <t>Heap (Priority Queue)</t>
        </is>
      </c>
      <c r="H840" t="inlineStr">
        <is>
          <t>Implementary Questions</t>
        </is>
      </c>
      <c r="I840" t="inlineStr">
        <is>
          <t>Leetcode</t>
        </is>
      </c>
      <c r="J840" t="inlineStr">
        <is>
          <t>Problem</t>
        </is>
      </c>
    </row>
    <row r="841">
      <c r="A841" t="n">
        <v>611</v>
      </c>
      <c r="B841" t="inlineStr">
        <is>
          <t>Process Tasks Using Servers</t>
        </is>
      </c>
      <c r="C841">
        <f>HYPERLINK("https://leetcode.com/problems/process-tasks-using-servers/","process-tasks-using-servers")</f>
        <v/>
      </c>
      <c r="D841" t="inlineStr">
        <is>
          <t>-</t>
        </is>
      </c>
      <c r="E841" t="inlineStr">
        <is>
          <t>Medium</t>
        </is>
      </c>
      <c r="F841" t="n">
        <v>18</v>
      </c>
      <c r="G841" t="inlineStr">
        <is>
          <t>Heap (Priority Queue)</t>
        </is>
      </c>
      <c r="H841" t="inlineStr">
        <is>
          <t>Implementary Questions</t>
        </is>
      </c>
      <c r="I841" t="inlineStr">
        <is>
          <t>Leetcode</t>
        </is>
      </c>
      <c r="J841" t="inlineStr">
        <is>
          <t>Problem</t>
        </is>
      </c>
    </row>
    <row r="842">
      <c r="A842" t="n">
        <v>327</v>
      </c>
      <c r="B842" t="inlineStr">
        <is>
          <t>Maximum Number of Eaten Apples</t>
        </is>
      </c>
      <c r="C842">
        <f>HYPERLINK("https://leetcode.com/problems/maximum-number-of-eaten-apples/","maximum-number-of-eaten-apples")</f>
        <v/>
      </c>
      <c r="D842" t="inlineStr">
        <is>
          <t>-</t>
        </is>
      </c>
      <c r="E842" t="inlineStr">
        <is>
          <t>Medium</t>
        </is>
      </c>
      <c r="F842" t="n">
        <v>18</v>
      </c>
      <c r="G842" t="inlineStr">
        <is>
          <t>Heap (Priority Queue)</t>
        </is>
      </c>
      <c r="H842" t="inlineStr">
        <is>
          <t>Implementary Questions</t>
        </is>
      </c>
      <c r="I842" t="inlineStr">
        <is>
          <t>Leetcode</t>
        </is>
      </c>
      <c r="J842" t="inlineStr">
        <is>
          <t>Problem</t>
        </is>
      </c>
    </row>
    <row r="843">
      <c r="A843" t="n">
        <v>492</v>
      </c>
      <c r="B843" t="inlineStr">
        <is>
          <t>Maximum Number of Events That Can Be Attended</t>
        </is>
      </c>
      <c r="C843">
        <f>HYPERLINK("https://leetcode.com/problems/maximum-number-of-events-that-can-be-attended/description/","maximum-number-of-events-that-can-be-attended")</f>
        <v/>
      </c>
      <c r="D843" t="inlineStr">
        <is>
          <t>-</t>
        </is>
      </c>
      <c r="E843" t="inlineStr">
        <is>
          <t>Medium</t>
        </is>
      </c>
      <c r="F843" t="n">
        <v>18</v>
      </c>
      <c r="G843" t="inlineStr">
        <is>
          <t>Heap (Priority Queue)</t>
        </is>
      </c>
      <c r="H843" t="inlineStr">
        <is>
          <t>Implementary Questions</t>
        </is>
      </c>
      <c r="I843" t="inlineStr">
        <is>
          <t>Leetcode</t>
        </is>
      </c>
      <c r="J843" t="inlineStr">
        <is>
          <t>Problem</t>
        </is>
      </c>
    </row>
    <row r="844">
      <c r="A844" t="n">
        <v>524</v>
      </c>
      <c r="B844" t="inlineStr">
        <is>
          <t>Minimum Operations to Exceed Threshold Value II</t>
        </is>
      </c>
      <c r="C844">
        <f>HYPERLINK("https://leetcode.com/problems/minimum-operations-to-exceed-threshold-value-ii/","minimum-operations-to-exceed-threshold-value-ii")</f>
        <v/>
      </c>
      <c r="D844" t="inlineStr">
        <is>
          <t>-</t>
        </is>
      </c>
      <c r="E844" t="inlineStr">
        <is>
          <t>Medium</t>
        </is>
      </c>
      <c r="F844" t="n">
        <v>18</v>
      </c>
      <c r="G844" t="inlineStr">
        <is>
          <t>Heap (Priority Queue)</t>
        </is>
      </c>
      <c r="H844" t="inlineStr">
        <is>
          <t>Implementary Questions</t>
        </is>
      </c>
      <c r="I844" t="inlineStr">
        <is>
          <t>Leetcode</t>
        </is>
      </c>
      <c r="J844" t="inlineStr">
        <is>
          <t>Problem</t>
        </is>
      </c>
    </row>
    <row r="845">
      <c r="A845" t="n">
        <v>612</v>
      </c>
      <c r="B845" t="inlineStr">
        <is>
          <t>Put Marbles in Bags</t>
        </is>
      </c>
      <c r="C845">
        <f>HYPERLINK("https://leetcode.com/problems/put-marbles-in-bags/","put-marbles-in-bags")</f>
        <v/>
      </c>
      <c r="D845" t="inlineStr">
        <is>
          <t>-</t>
        </is>
      </c>
      <c r="E845" t="inlineStr">
        <is>
          <t>Hard</t>
        </is>
      </c>
      <c r="F845" t="n">
        <v>18</v>
      </c>
      <c r="G845" t="inlineStr">
        <is>
          <t>Heap (Priority Queue)</t>
        </is>
      </c>
      <c r="H845" t="inlineStr">
        <is>
          <t>Implementary Questions</t>
        </is>
      </c>
      <c r="I845" t="inlineStr">
        <is>
          <t>Leetcode</t>
        </is>
      </c>
      <c r="J845" t="inlineStr">
        <is>
          <t>Problem</t>
        </is>
      </c>
    </row>
    <row r="846">
      <c r="A846" t="n">
        <v>343</v>
      </c>
      <c r="B846" t="inlineStr">
        <is>
          <t>Maximum Spending After Buying Items</t>
        </is>
      </c>
      <c r="C846">
        <f>HYPERLINK("https://leetcode.com/problems/maximum-spending-after-buying-items/","maximum-spending-after-buying-items")</f>
        <v/>
      </c>
      <c r="D846" t="inlineStr">
        <is>
          <t>-</t>
        </is>
      </c>
      <c r="E846" t="inlineStr">
        <is>
          <t>Hard</t>
        </is>
      </c>
      <c r="F846" t="n">
        <v>18</v>
      </c>
      <c r="G846" t="inlineStr">
        <is>
          <t>Heap (Priority Queue)</t>
        </is>
      </c>
      <c r="H846" t="inlineStr">
        <is>
          <t>Implementary Questions</t>
        </is>
      </c>
      <c r="I846" t="inlineStr">
        <is>
          <t>Leetcode</t>
        </is>
      </c>
      <c r="J846" t="inlineStr">
        <is>
          <t>Problem</t>
        </is>
      </c>
    </row>
    <row r="847">
      <c r="A847" t="n">
        <v>752</v>
      </c>
      <c r="B847" t="inlineStr">
        <is>
          <t>Trapping Rain Water II</t>
        </is>
      </c>
      <c r="C847">
        <f>HYPERLINK("https://leetcode.com/problems/trapping-rain-water-ii/","trapping-rain-water-ii")</f>
        <v/>
      </c>
      <c r="D847" t="inlineStr">
        <is>
          <t>-</t>
        </is>
      </c>
      <c r="E847" t="inlineStr">
        <is>
          <t>Hard</t>
        </is>
      </c>
      <c r="F847" t="n">
        <v>18</v>
      </c>
      <c r="G847" t="inlineStr">
        <is>
          <t>Heap (Priority Queue)</t>
        </is>
      </c>
      <c r="H847" t="inlineStr">
        <is>
          <t>Implementary Questions</t>
        </is>
      </c>
      <c r="I847" t="inlineStr">
        <is>
          <t>Leetcode</t>
        </is>
      </c>
      <c r="J847" t="inlineStr">
        <is>
          <t>Problem</t>
        </is>
      </c>
    </row>
    <row r="848">
      <c r="A848" t="n">
        <v>346</v>
      </c>
      <c r="B848" t="inlineStr">
        <is>
          <t>Maximum Subsequence Score</t>
        </is>
      </c>
      <c r="C848">
        <f>HYPERLINK("https://leetcode.com/problems/maximum-subsequence-score/","maximum-subsequence-score")</f>
        <v/>
      </c>
      <c r="D848" t="inlineStr">
        <is>
          <t>-</t>
        </is>
      </c>
      <c r="E848" t="inlineStr">
        <is>
          <t>Medium</t>
        </is>
      </c>
      <c r="F848" t="n">
        <v>18</v>
      </c>
      <c r="G848" t="inlineStr">
        <is>
          <t>Heap (Priority Queue)</t>
        </is>
      </c>
      <c r="H848" t="inlineStr">
        <is>
          <t>Implementary Questions</t>
        </is>
      </c>
      <c r="I848" t="inlineStr">
        <is>
          <t>Leetcode</t>
        </is>
      </c>
      <c r="J848" t="inlineStr">
        <is>
          <t>Problem</t>
        </is>
      </c>
    </row>
    <row r="849">
      <c r="A849" t="n">
        <v>335</v>
      </c>
      <c r="B849" t="inlineStr">
        <is>
          <t>Maximum Performance of a Team</t>
        </is>
      </c>
      <c r="C849">
        <f>HYPERLINK("https://leetcode.com/problems/maximum-performance-of-a-team/description/","maximum-performance-of-a-team")</f>
        <v/>
      </c>
      <c r="D849" t="inlineStr">
        <is>
          <t>-</t>
        </is>
      </c>
      <c r="E849" t="inlineStr">
        <is>
          <t>Hard</t>
        </is>
      </c>
      <c r="F849" t="n">
        <v>18</v>
      </c>
      <c r="G849" t="inlineStr">
        <is>
          <t>Heap (Priority Queue)</t>
        </is>
      </c>
      <c r="H849" t="inlineStr">
        <is>
          <t>Implementary Questions</t>
        </is>
      </c>
      <c r="I849" t="inlineStr">
        <is>
          <t>Leetcode</t>
        </is>
      </c>
      <c r="J849" t="inlineStr">
        <is>
          <t>Problem</t>
        </is>
      </c>
    </row>
    <row r="850">
      <c r="A850" t="n">
        <v>485</v>
      </c>
      <c r="B850" t="inlineStr">
        <is>
          <t>Max Value of Equation</t>
        </is>
      </c>
      <c r="C850">
        <f>HYPERLINK("https://leetcode.com/problems/max-value-of-equation/description/","max-value-of-equation")</f>
        <v/>
      </c>
      <c r="D850" t="inlineStr">
        <is>
          <t>-</t>
        </is>
      </c>
      <c r="E850" t="inlineStr">
        <is>
          <t>Hard</t>
        </is>
      </c>
      <c r="F850" t="n">
        <v>18</v>
      </c>
      <c r="G850" t="inlineStr">
        <is>
          <t>Heap (Priority Queue)</t>
        </is>
      </c>
      <c r="H850" t="inlineStr">
        <is>
          <t>Implementary Questions</t>
        </is>
      </c>
      <c r="I850" t="inlineStr">
        <is>
          <t>Leetcode</t>
        </is>
      </c>
      <c r="J850" t="inlineStr">
        <is>
          <t>Problem</t>
        </is>
      </c>
    </row>
    <row r="851">
      <c r="A851" t="n">
        <v>831</v>
      </c>
      <c r="B851" t="inlineStr">
        <is>
          <t>The Skyline Problem</t>
        </is>
      </c>
      <c r="C851">
        <f>HYPERLINK("https://leetcode.com/problems/the-skyline-problem/","the-skyline-problem")</f>
        <v/>
      </c>
      <c r="D851" t="inlineStr">
        <is>
          <t>-</t>
        </is>
      </c>
      <c r="E851" t="inlineStr">
        <is>
          <t>Hard</t>
        </is>
      </c>
      <c r="F851" t="n">
        <v>18</v>
      </c>
      <c r="G851" t="inlineStr">
        <is>
          <t>Heap (Priority Queue)</t>
        </is>
      </c>
      <c r="H851" t="inlineStr">
        <is>
          <t>Implementary Questions</t>
        </is>
      </c>
      <c r="I851" t="inlineStr">
        <is>
          <t>Leetcode</t>
        </is>
      </c>
      <c r="J851" t="inlineStr">
        <is>
          <t>Problem</t>
        </is>
      </c>
    </row>
    <row r="852">
      <c r="A852" t="n">
        <v>791</v>
      </c>
      <c r="B852" t="inlineStr">
        <is>
          <t>Maximum Elegance of a K-Length Subsequence</t>
        </is>
      </c>
      <c r="C852">
        <f>HYPERLINK("https://leetcode.com/problems/maximum-elegance-of-a-k-length-subsequence/description/","maximum-elegance-of-a-k-length-subsequence")</f>
        <v/>
      </c>
      <c r="D852" t="inlineStr">
        <is>
          <t>-</t>
        </is>
      </c>
      <c r="E852" t="inlineStr">
        <is>
          <t>Hard</t>
        </is>
      </c>
      <c r="F852" t="n">
        <v>18</v>
      </c>
      <c r="G852" t="inlineStr">
        <is>
          <t>Heap (Priority Queue)</t>
        </is>
      </c>
      <c r="H852" t="inlineStr">
        <is>
          <t>Implementary Questions</t>
        </is>
      </c>
      <c r="I852" t="inlineStr">
        <is>
          <t>Leetcode</t>
        </is>
      </c>
      <c r="J852" t="inlineStr">
        <is>
          <t>Problem</t>
        </is>
      </c>
    </row>
    <row r="853">
      <c r="A853" t="n">
        <v>741</v>
      </c>
      <c r="B853" t="inlineStr">
        <is>
          <t>The K Weakest Rows in a Matrix</t>
        </is>
      </c>
      <c r="C853">
        <f>HYPERLINK("https://leetcode.com/problems/the-k-weakest-rows-in-a-matrix/","the-k-weakest-rows-in-a-matrix")</f>
        <v/>
      </c>
      <c r="D853" t="inlineStr">
        <is>
          <t>-</t>
        </is>
      </c>
      <c r="E853" t="inlineStr">
        <is>
          <t>Easy</t>
        </is>
      </c>
      <c r="F853" t="n">
        <v>18</v>
      </c>
      <c r="G853" t="inlineStr">
        <is>
          <t>Heap (Priority Queue)</t>
        </is>
      </c>
      <c r="H853" t="inlineStr">
        <is>
          <t>Kth Pattern Problems</t>
        </is>
      </c>
      <c r="I853" t="inlineStr">
        <is>
          <t>Leetcode</t>
        </is>
      </c>
      <c r="J853" t="inlineStr">
        <is>
          <t>Problem</t>
        </is>
      </c>
    </row>
    <row r="854">
      <c r="A854" t="n">
        <v>229</v>
      </c>
      <c r="B854" t="inlineStr">
        <is>
          <t>Kth Largest Element in an Array</t>
        </is>
      </c>
      <c r="C854">
        <f>HYPERLINK("https://leetcode.com/problems/kth-largest-element-in-an-array/description/","kth-largest-element-in-an-array")</f>
        <v/>
      </c>
      <c r="D854" t="inlineStr">
        <is>
          <t>-</t>
        </is>
      </c>
      <c r="E854" t="inlineStr">
        <is>
          <t>Medium</t>
        </is>
      </c>
      <c r="F854" t="n">
        <v>18</v>
      </c>
      <c r="G854" t="inlineStr">
        <is>
          <t>Heap (Priority Queue)</t>
        </is>
      </c>
      <c r="H854" t="inlineStr">
        <is>
          <t>Kth Pattern Problems</t>
        </is>
      </c>
      <c r="I854" t="inlineStr">
        <is>
          <t>Leetcode</t>
        </is>
      </c>
      <c r="J854" t="inlineStr">
        <is>
          <t>Problem</t>
        </is>
      </c>
    </row>
    <row r="855">
      <c r="A855" t="n">
        <v>477</v>
      </c>
      <c r="B855" t="inlineStr">
        <is>
          <t>Kth Largest Element in a Stream</t>
        </is>
      </c>
      <c r="C855">
        <f>HYPERLINK("https://leetcode.com/problems/kth-largest-element-in-a-stream/","kth-largest-element-in-a-stream")</f>
        <v/>
      </c>
      <c r="D855" t="inlineStr">
        <is>
          <t>-</t>
        </is>
      </c>
      <c r="E855" t="inlineStr">
        <is>
          <t>Easy</t>
        </is>
      </c>
      <c r="F855" t="n">
        <v>18</v>
      </c>
      <c r="G855" t="inlineStr">
        <is>
          <t>Heap (Priority Queue)</t>
        </is>
      </c>
      <c r="H855" t="inlineStr">
        <is>
          <t>Kth Pattern Problems</t>
        </is>
      </c>
      <c r="I855" t="inlineStr">
        <is>
          <t>Leetcode</t>
        </is>
      </c>
      <c r="J855" t="inlineStr">
        <is>
          <t>Problem</t>
        </is>
      </c>
    </row>
    <row r="856">
      <c r="A856" t="n">
        <v>464</v>
      </c>
      <c r="B856" t="inlineStr">
        <is>
          <t>Find Subsequence of Length K With the Largest Sum</t>
        </is>
      </c>
      <c r="C856">
        <f>HYPERLINK("https://leetcode.com/problems/find-subsequence-of-length-k-with-the-largest-sum/description/","find-subsequence-of-length-k-with-the-largest-sum")</f>
        <v/>
      </c>
      <c r="D856" t="inlineStr">
        <is>
          <t>-</t>
        </is>
      </c>
      <c r="E856" t="inlineStr">
        <is>
          <t>Easy</t>
        </is>
      </c>
      <c r="F856" t="n">
        <v>18</v>
      </c>
      <c r="G856" t="inlineStr">
        <is>
          <t>Heap (Priority Queue)</t>
        </is>
      </c>
      <c r="H856" t="inlineStr">
        <is>
          <t>Kth Pattern Problems</t>
        </is>
      </c>
      <c r="I856" t="inlineStr">
        <is>
          <t>Leetcode</t>
        </is>
      </c>
      <c r="J856" t="inlineStr">
        <is>
          <t>Problem</t>
        </is>
      </c>
    </row>
    <row r="857">
      <c r="A857" t="n">
        <v>289</v>
      </c>
      <c r="B857" t="inlineStr">
        <is>
          <t>K-th Smallest Prime Fraction</t>
        </is>
      </c>
      <c r="C857">
        <f>HYPERLINK("https://leetcode.com/problems/k-th-smallest-prime-fraction/description/","k-th-smallest-prime-fraction")</f>
        <v/>
      </c>
      <c r="D857" t="inlineStr">
        <is>
          <t>-</t>
        </is>
      </c>
      <c r="E857" t="inlineStr">
        <is>
          <t>Medium</t>
        </is>
      </c>
      <c r="F857" t="n">
        <v>18</v>
      </c>
      <c r="G857" t="inlineStr">
        <is>
          <t>Heap (Priority Queue)</t>
        </is>
      </c>
      <c r="H857" t="inlineStr">
        <is>
          <t>Kth Pattern Problems</t>
        </is>
      </c>
      <c r="I857" t="inlineStr">
        <is>
          <t>Leetcode</t>
        </is>
      </c>
      <c r="J857" t="inlineStr">
        <is>
          <t>Problem</t>
        </is>
      </c>
    </row>
    <row r="858">
      <c r="A858" t="n">
        <v>475</v>
      </c>
      <c r="B858" t="inlineStr">
        <is>
          <t>K Closest Points to Origin</t>
        </is>
      </c>
      <c r="C858">
        <f>HYPERLINK("https://leetcode.com/problems/k-closest-points-to-origin/description/","k-closest-points-to-origin")</f>
        <v/>
      </c>
      <c r="D858" t="inlineStr">
        <is>
          <t>-</t>
        </is>
      </c>
      <c r="E858" t="inlineStr">
        <is>
          <t>Medium</t>
        </is>
      </c>
      <c r="F858" t="n">
        <v>18</v>
      </c>
      <c r="G858" t="inlineStr">
        <is>
          <t>Heap (Priority Queue)</t>
        </is>
      </c>
      <c r="H858" t="inlineStr">
        <is>
          <t>Kth Pattern Problems</t>
        </is>
      </c>
      <c r="I858" t="inlineStr">
        <is>
          <t>Leetcode</t>
        </is>
      </c>
      <c r="J858" t="inlineStr">
        <is>
          <t>Problem</t>
        </is>
      </c>
    </row>
    <row r="859">
      <c r="A859" t="n">
        <v>748</v>
      </c>
      <c r="B859" t="inlineStr">
        <is>
          <t>Top K Frequent Elements</t>
        </is>
      </c>
      <c r="C859">
        <f>HYPERLINK("https://leetcode.com/problems/top-k-frequent-elements/description/","top-k-frequent-elements")</f>
        <v/>
      </c>
      <c r="D859" t="inlineStr">
        <is>
          <t>-</t>
        </is>
      </c>
      <c r="E859" t="inlineStr">
        <is>
          <t>Medium</t>
        </is>
      </c>
      <c r="F859" t="n">
        <v>18</v>
      </c>
      <c r="G859" t="inlineStr">
        <is>
          <t>Heap (Priority Queue)</t>
        </is>
      </c>
      <c r="H859" t="inlineStr">
        <is>
          <t>Kth Pattern Problems</t>
        </is>
      </c>
      <c r="I859" t="inlineStr">
        <is>
          <t>Leetcode</t>
        </is>
      </c>
      <c r="J859" t="inlineStr">
        <is>
          <t>Problem</t>
        </is>
      </c>
    </row>
    <row r="860">
      <c r="A860" t="n">
        <v>290</v>
      </c>
      <c r="B860" t="inlineStr">
        <is>
          <t>Kth Smallest Element in a Sorted Matrix</t>
        </is>
      </c>
      <c r="C860">
        <f>HYPERLINK("https://leetcode.com/problems/kth-smallest-element-in-a-sorted-matrix/","kth-smallest-element-in-a-sorted-matrix")</f>
        <v/>
      </c>
      <c r="D860" t="inlineStr">
        <is>
          <t>-</t>
        </is>
      </c>
      <c r="E860" t="inlineStr">
        <is>
          <t>Hard</t>
        </is>
      </c>
      <c r="F860" t="n">
        <v>18</v>
      </c>
      <c r="G860" t="inlineStr">
        <is>
          <t>Heap (Priority Queue)</t>
        </is>
      </c>
      <c r="H860" t="inlineStr">
        <is>
          <t>Kth Pattern Problems</t>
        </is>
      </c>
      <c r="I860" t="inlineStr">
        <is>
          <t>Leetcode</t>
        </is>
      </c>
      <c r="J860" t="inlineStr">
        <is>
          <t>Problem</t>
        </is>
      </c>
    </row>
    <row r="861">
      <c r="A861" t="n">
        <v>170</v>
      </c>
      <c r="B861" t="inlineStr">
        <is>
          <t>Find Kth Largest XOR Coordinate Value</t>
        </is>
      </c>
      <c r="C861">
        <f>HYPERLINK("https://leetcode.com/problems/find-kth-largest-xor-coordinate-value/description/","find-kth-largest-xor-coordinate-value")</f>
        <v/>
      </c>
      <c r="D861" t="inlineStr">
        <is>
          <t>-</t>
        </is>
      </c>
      <c r="E861" t="inlineStr">
        <is>
          <t>Medium</t>
        </is>
      </c>
      <c r="F861" t="n">
        <v>18</v>
      </c>
      <c r="G861" t="inlineStr">
        <is>
          <t>Heap (Priority Queue)</t>
        </is>
      </c>
      <c r="H861" t="inlineStr">
        <is>
          <t>Kth Pattern Problems</t>
        </is>
      </c>
      <c r="I861" t="inlineStr">
        <is>
          <t>Leetcode</t>
        </is>
      </c>
      <c r="J861" t="inlineStr">
        <is>
          <t>Problem</t>
        </is>
      </c>
    </row>
    <row r="862">
      <c r="A862" t="n">
        <v>819</v>
      </c>
      <c r="B862" t="inlineStr">
        <is>
          <t>Top K Frequent Words</t>
        </is>
      </c>
      <c r="C862">
        <f>HYPERLINK("https://leetcode.com/problems/top-k-frequent-words/description/","top-k-frequent-words")</f>
        <v/>
      </c>
      <c r="D862" t="inlineStr">
        <is>
          <t>-</t>
        </is>
      </c>
      <c r="E862" t="inlineStr">
        <is>
          <t>Medium</t>
        </is>
      </c>
      <c r="F862" t="n">
        <v>18</v>
      </c>
      <c r="G862" t="inlineStr">
        <is>
          <t>Heap (Priority Queue)</t>
        </is>
      </c>
      <c r="H862" t="inlineStr">
        <is>
          <t>Kth Pattern Problems</t>
        </is>
      </c>
      <c r="I862" t="inlineStr">
        <is>
          <t>Leetcode</t>
        </is>
      </c>
      <c r="J862" t="inlineStr">
        <is>
          <t>Problem</t>
        </is>
      </c>
    </row>
    <row r="863">
      <c r="A863" t="n">
        <v>461</v>
      </c>
      <c r="B863" t="inlineStr">
        <is>
          <t>Find K Closest Elements</t>
        </is>
      </c>
      <c r="C863">
        <f>HYPERLINK("https://leetcode.com/problems/find-k-closest-elements/description/","find-k-closest-elements")</f>
        <v/>
      </c>
      <c r="D863" t="inlineStr">
        <is>
          <t>-</t>
        </is>
      </c>
      <c r="E863" t="inlineStr">
        <is>
          <t>Medium</t>
        </is>
      </c>
      <c r="F863" t="n">
        <v>18</v>
      </c>
      <c r="G863" t="inlineStr">
        <is>
          <t>Heap (Priority Queue)</t>
        </is>
      </c>
      <c r="H863" t="inlineStr">
        <is>
          <t>Kth Pattern Problems</t>
        </is>
      </c>
      <c r="I863" t="inlineStr">
        <is>
          <t>Leetcode</t>
        </is>
      </c>
      <c r="J863" t="inlineStr">
        <is>
          <t>Problem</t>
        </is>
      </c>
    </row>
    <row r="864">
      <c r="A864" t="n">
        <v>757</v>
      </c>
      <c r="B864" t="inlineStr">
        <is>
          <t>Ugly Number II</t>
        </is>
      </c>
      <c r="C864">
        <f>HYPERLINK("https://leetcode.com/problems/ugly-number-ii/","ugly-number-ii")</f>
        <v/>
      </c>
      <c r="D864" t="inlineStr">
        <is>
          <t>-</t>
        </is>
      </c>
      <c r="E864" t="inlineStr">
        <is>
          <t>Medium</t>
        </is>
      </c>
      <c r="F864" t="n">
        <v>18</v>
      </c>
      <c r="G864" t="inlineStr">
        <is>
          <t>Heap (Priority Queue)</t>
        </is>
      </c>
      <c r="H864" t="inlineStr">
        <is>
          <t>Kth Pattern Problems</t>
        </is>
      </c>
      <c r="I864" t="inlineStr">
        <is>
          <t>Leetcode</t>
        </is>
      </c>
      <c r="J864" t="inlineStr">
        <is>
          <t>Problem</t>
        </is>
      </c>
    </row>
    <row r="865">
      <c r="A865" t="n">
        <v>186</v>
      </c>
      <c r="B865" t="inlineStr">
        <is>
          <t>Find the Kth Largest Integer in the Array</t>
        </is>
      </c>
      <c r="C865">
        <f>HYPERLINK("https://leetcode.com/problems/find-the-kth-largest-integer-in-the-array/description/","find-the-kth-largest-integer-in-the-array")</f>
        <v/>
      </c>
      <c r="D865" t="inlineStr">
        <is>
          <t>-</t>
        </is>
      </c>
      <c r="E865" t="inlineStr">
        <is>
          <t>Medium</t>
        </is>
      </c>
      <c r="F865" t="n">
        <v>18</v>
      </c>
      <c r="G865" t="inlineStr">
        <is>
          <t>Heap (Priority Queue)</t>
        </is>
      </c>
      <c r="H865" t="inlineStr">
        <is>
          <t>Kth Pattern Problems</t>
        </is>
      </c>
      <c r="I865" t="inlineStr">
        <is>
          <t>Leetcode</t>
        </is>
      </c>
      <c r="J865" t="inlineStr">
        <is>
          <t>Problem</t>
        </is>
      </c>
    </row>
    <row r="866">
      <c r="A866" t="n">
        <v>661</v>
      </c>
      <c r="B866" t="inlineStr">
        <is>
          <t>Reward Top K Students</t>
        </is>
      </c>
      <c r="C866">
        <f>HYPERLINK("https://leetcode.com/problems/reward-top-k-students/description/","reward-top-k-students")</f>
        <v/>
      </c>
      <c r="D866" t="inlineStr">
        <is>
          <t>-</t>
        </is>
      </c>
      <c r="E866" t="inlineStr">
        <is>
          <t>Medium</t>
        </is>
      </c>
      <c r="F866" t="n">
        <v>18</v>
      </c>
      <c r="G866" t="inlineStr">
        <is>
          <t>Heap (Priority Queue)</t>
        </is>
      </c>
      <c r="H866" t="inlineStr">
        <is>
          <t>Kth Pattern Problems</t>
        </is>
      </c>
      <c r="I866" t="inlineStr">
        <is>
          <t>Leetcode</t>
        </is>
      </c>
      <c r="J866" t="inlineStr">
        <is>
          <t>Problem</t>
        </is>
      </c>
    </row>
    <row r="867">
      <c r="A867" t="n">
        <v>615</v>
      </c>
      <c r="B867" t="inlineStr">
        <is>
          <t>Query Kth Smallest Trimmed Number</t>
        </is>
      </c>
      <c r="C867">
        <f>HYPERLINK("https://leetcode.com/problems/query-kth-smallest-trimmed-number/","query-kth-smallest-trimmed-number")</f>
        <v/>
      </c>
      <c r="D867" t="inlineStr">
        <is>
          <t>-</t>
        </is>
      </c>
      <c r="E867" t="inlineStr">
        <is>
          <t>Medium</t>
        </is>
      </c>
      <c r="F867" t="n">
        <v>18</v>
      </c>
      <c r="G867" t="inlineStr">
        <is>
          <t>Heap (Priority Queue)</t>
        </is>
      </c>
      <c r="H867" t="inlineStr">
        <is>
          <t>Kth Pattern Problems</t>
        </is>
      </c>
      <c r="I867" t="inlineStr">
        <is>
          <t>Leetcode</t>
        </is>
      </c>
      <c r="J867" t="inlineStr">
        <is>
          <t>Problem</t>
        </is>
      </c>
    </row>
    <row r="868">
      <c r="A868" t="n">
        <v>476</v>
      </c>
      <c r="B868" t="inlineStr">
        <is>
          <t>K Highest Ranked Items Within a Price Range</t>
        </is>
      </c>
      <c r="C868">
        <f>HYPERLINK("https://leetcode.com/problems/k-highest-ranked-items-within-a-price-range/description/","k-highest-ranked-items-within-a-price-range")</f>
        <v/>
      </c>
      <c r="D868" t="inlineStr">
        <is>
          <t>-</t>
        </is>
      </c>
      <c r="E868" t="inlineStr">
        <is>
          <t>Medium</t>
        </is>
      </c>
      <c r="F868" t="n">
        <v>18</v>
      </c>
      <c r="G868" t="inlineStr">
        <is>
          <t>Heap (Priority Queue)</t>
        </is>
      </c>
      <c r="H868" t="inlineStr">
        <is>
          <t>Kth Pattern Problems</t>
        </is>
      </c>
      <c r="I868" t="inlineStr">
        <is>
          <t>Leetcode</t>
        </is>
      </c>
      <c r="J868" t="inlineStr">
        <is>
          <t>Problem</t>
        </is>
      </c>
    </row>
    <row r="869">
      <c r="A869" t="n">
        <v>187</v>
      </c>
      <c r="B869" t="inlineStr">
        <is>
          <t>Find the Kth Smallest Sum of a Matrix With Sorted Rows</t>
        </is>
      </c>
      <c r="C869">
        <f>HYPERLINK("https://leetcode.com/problems/find-the-kth-smallest-sum-of-a-matrix-with-sorted-rows/description/","find-the-kth-smallest-sum-of-a-matrix-with-sorted-rows")</f>
        <v/>
      </c>
      <c r="D869" t="inlineStr">
        <is>
          <t>-</t>
        </is>
      </c>
      <c r="E869" t="inlineStr">
        <is>
          <t>Hard</t>
        </is>
      </c>
      <c r="F869" t="n">
        <v>18</v>
      </c>
      <c r="G869" t="inlineStr">
        <is>
          <t>Heap (Priority Queue)</t>
        </is>
      </c>
      <c r="H869" t="inlineStr">
        <is>
          <t>Kth Pattern Problems</t>
        </is>
      </c>
      <c r="I869" t="inlineStr">
        <is>
          <t>Leetcode</t>
        </is>
      </c>
      <c r="J869" t="inlineStr">
        <is>
          <t>Problem</t>
        </is>
      </c>
    </row>
    <row r="870">
      <c r="A870" t="n">
        <v>466</v>
      </c>
      <c r="B870" t="inlineStr">
        <is>
          <t>Find the K-Sum of an Array</t>
        </is>
      </c>
      <c r="C870">
        <f>HYPERLINK("https://leetcode.com/problems/find-the-k-sum-of-an-array/description/","find-the-k-sum-of-an-array")</f>
        <v/>
      </c>
      <c r="D870" t="inlineStr">
        <is>
          <t>-</t>
        </is>
      </c>
      <c r="E870" t="inlineStr">
        <is>
          <t>Hard</t>
        </is>
      </c>
      <c r="F870" t="n">
        <v>18</v>
      </c>
      <c r="G870" t="inlineStr">
        <is>
          <t>Heap (Priority Queue)</t>
        </is>
      </c>
      <c r="H870" t="inlineStr">
        <is>
          <t>Kth Pattern Problems</t>
        </is>
      </c>
      <c r="I870" t="inlineStr">
        <is>
          <t>Leetcode</t>
        </is>
      </c>
      <c r="J870" t="inlineStr">
        <is>
          <t>Problem</t>
        </is>
      </c>
    </row>
    <row r="871">
      <c r="A871" t="n">
        <v>643</v>
      </c>
      <c r="B871" t="inlineStr">
        <is>
          <t>Remove Stones to Minimize the Total</t>
        </is>
      </c>
      <c r="C871">
        <f>HYPERLINK("https://leetcode.com/problems/remove-stones-to-minimize-the-total/","remove-stones-to-minimize-the-total")</f>
        <v/>
      </c>
      <c r="D871" t="inlineStr">
        <is>
          <t>-</t>
        </is>
      </c>
      <c r="E871" t="inlineStr">
        <is>
          <t>Medium</t>
        </is>
      </c>
      <c r="F871" t="n">
        <v>18</v>
      </c>
      <c r="G871" t="inlineStr">
        <is>
          <t>Heap (Priority Queue)</t>
        </is>
      </c>
      <c r="H871" t="inlineStr">
        <is>
          <t>Minimize Operations</t>
        </is>
      </c>
      <c r="I871" t="inlineStr">
        <is>
          <t>Leetcode</t>
        </is>
      </c>
      <c r="J871" t="inlineStr">
        <is>
          <t>Problem</t>
        </is>
      </c>
    </row>
    <row r="872">
      <c r="A872" t="n">
        <v>405</v>
      </c>
      <c r="B872" t="inlineStr">
        <is>
          <t>Minimum Operations to Halve Array Sum</t>
        </is>
      </c>
      <c r="C872">
        <f>HYPERLINK("https://leetcode.com/problems/minimum-operations-to-halve-array-sum/","minimum-operations-to-halve-array-sum")</f>
        <v/>
      </c>
      <c r="D872" t="inlineStr">
        <is>
          <t>-</t>
        </is>
      </c>
      <c r="E872" t="inlineStr">
        <is>
          <t>Medium</t>
        </is>
      </c>
      <c r="F872" t="n">
        <v>18</v>
      </c>
      <c r="G872" t="inlineStr">
        <is>
          <t>Heap (Priority Queue)</t>
        </is>
      </c>
      <c r="H872" t="inlineStr">
        <is>
          <t>Minimize Operations</t>
        </is>
      </c>
      <c r="I872" t="inlineStr">
        <is>
          <t>Leetcode</t>
        </is>
      </c>
      <c r="J872" t="inlineStr">
        <is>
          <t>Problem</t>
        </is>
      </c>
    </row>
    <row r="873">
      <c r="A873" t="n">
        <v>743</v>
      </c>
      <c r="B873" t="inlineStr">
        <is>
          <t>The Number of the Smallest Unoccupied Chair</t>
        </is>
      </c>
      <c r="C873">
        <f>HYPERLINK("https://leetcode.com/problems/the-number-of-the-smallest-unoccupied-chair/","the-number-of-the-smallest-unoccupied-chair")</f>
        <v/>
      </c>
      <c r="D873" t="inlineStr">
        <is>
          <t>-</t>
        </is>
      </c>
      <c r="E873" t="inlineStr">
        <is>
          <t>Medium</t>
        </is>
      </c>
      <c r="F873" t="n">
        <v>18</v>
      </c>
      <c r="G873" t="inlineStr">
        <is>
          <t>Heap (Priority Queue)</t>
        </is>
      </c>
      <c r="H873" t="inlineStr">
        <is>
          <t>Minimize Operations</t>
        </is>
      </c>
      <c r="I873" t="inlineStr">
        <is>
          <t>Leetcode</t>
        </is>
      </c>
      <c r="J873" t="inlineStr">
        <is>
          <t>Problem</t>
        </is>
      </c>
    </row>
    <row r="874">
      <c r="A874" t="n">
        <v>249</v>
      </c>
      <c r="B874" t="inlineStr">
        <is>
          <t>Lexicographically Minimum String After Removing Stars</t>
        </is>
      </c>
      <c r="C874">
        <f>HYPERLINK("https://leetcode.com/problems/lexicographically-minimum-string-after-removing-stars/description/","lexicographically-minimum-string-after-removing-stars")</f>
        <v/>
      </c>
      <c r="D874" t="inlineStr">
        <is>
          <t>-</t>
        </is>
      </c>
      <c r="E874" t="inlineStr">
        <is>
          <t>Medium</t>
        </is>
      </c>
      <c r="F874" t="n">
        <v>18</v>
      </c>
      <c r="G874" t="inlineStr">
        <is>
          <t>Heap (Priority Queue)</t>
        </is>
      </c>
      <c r="H874" t="inlineStr">
        <is>
          <t>Minimize Operations</t>
        </is>
      </c>
      <c r="I874" t="inlineStr">
        <is>
          <t>Leetcode</t>
        </is>
      </c>
      <c r="J874" t="inlineStr">
        <is>
          <t>Problem</t>
        </is>
      </c>
    </row>
    <row r="875">
      <c r="A875" t="n">
        <v>648</v>
      </c>
      <c r="B875" t="inlineStr">
        <is>
          <t>Replace Question Marks in String to Minimize Its Value</t>
        </is>
      </c>
      <c r="C875">
        <f>HYPERLINK("https://leetcode.com/problems/replace-question-marks-in-string-to-minimize-its-value/description/","replace-question-marks-in-string-to-minimize-its-value")</f>
        <v/>
      </c>
      <c r="D875" t="inlineStr">
        <is>
          <t>-</t>
        </is>
      </c>
      <c r="E875" t="inlineStr">
        <is>
          <t>Medium</t>
        </is>
      </c>
      <c r="F875" t="n">
        <v>18</v>
      </c>
      <c r="G875" t="inlineStr">
        <is>
          <t>Heap (Priority Queue)</t>
        </is>
      </c>
      <c r="H875" t="inlineStr">
        <is>
          <t>Minimize Operations</t>
        </is>
      </c>
      <c r="I875" t="inlineStr">
        <is>
          <t>Leetcode</t>
        </is>
      </c>
      <c r="J875" t="inlineStr">
        <is>
          <t>Problem</t>
        </is>
      </c>
    </row>
    <row r="876">
      <c r="A876" t="n">
        <v>419</v>
      </c>
      <c r="B876" t="inlineStr">
        <is>
          <t>Minimum Sum of Squared Difference</t>
        </is>
      </c>
      <c r="C876">
        <f>HYPERLINK("https://leetcode.com/problems/minimum-sum-of-squared-difference/description/","minimum-sum-of-squared-difference")</f>
        <v/>
      </c>
      <c r="D876" t="inlineStr">
        <is>
          <t>-</t>
        </is>
      </c>
      <c r="E876" t="inlineStr">
        <is>
          <t>Medium</t>
        </is>
      </c>
      <c r="F876" t="n">
        <v>18</v>
      </c>
      <c r="G876" t="inlineStr">
        <is>
          <t>Heap (Priority Queue)</t>
        </is>
      </c>
      <c r="H876" t="inlineStr">
        <is>
          <t>Minimize Operations</t>
        </is>
      </c>
      <c r="I876" t="inlineStr">
        <is>
          <t>Leetcode</t>
        </is>
      </c>
      <c r="J876" t="inlineStr">
        <is>
          <t>Problem</t>
        </is>
      </c>
    </row>
    <row r="877">
      <c r="A877" t="n">
        <v>380</v>
      </c>
      <c r="B877" t="inlineStr">
        <is>
          <t>Minimum Cost to Hire K Workers</t>
        </is>
      </c>
      <c r="C877">
        <f>HYPERLINK("https://leetcode.com/problems/minimum-cost-to-hire-k-workers/","minimum-cost-to-hire-k-workers")</f>
        <v/>
      </c>
      <c r="D877" t="inlineStr">
        <is>
          <t>-</t>
        </is>
      </c>
      <c r="E877" t="inlineStr">
        <is>
          <t>Hard</t>
        </is>
      </c>
      <c r="F877" t="n">
        <v>18</v>
      </c>
      <c r="G877" t="inlineStr">
        <is>
          <t>Heap (Priority Queue)</t>
        </is>
      </c>
      <c r="H877" t="inlineStr">
        <is>
          <t>Minimize Operations</t>
        </is>
      </c>
      <c r="I877" t="inlineStr">
        <is>
          <t>Leetcode</t>
        </is>
      </c>
      <c r="J877" t="inlineStr">
        <is>
          <t>Problem</t>
        </is>
      </c>
    </row>
    <row r="878">
      <c r="A878" t="n">
        <v>362</v>
      </c>
      <c r="B878" t="inlineStr">
        <is>
          <t>Minimize Deviation in Array</t>
        </is>
      </c>
      <c r="C878">
        <f>HYPERLINK("https://leetcode.com/problems/minimize-deviation-in-array/description/","minimize-deviation-in-array")</f>
        <v/>
      </c>
      <c r="D878" t="inlineStr">
        <is>
          <t>-</t>
        </is>
      </c>
      <c r="E878" t="inlineStr">
        <is>
          <t>Hard</t>
        </is>
      </c>
      <c r="F878" t="n">
        <v>18</v>
      </c>
      <c r="G878" t="inlineStr">
        <is>
          <t>Heap (Priority Queue)</t>
        </is>
      </c>
      <c r="H878" t="inlineStr">
        <is>
          <t>Minimize Operations</t>
        </is>
      </c>
      <c r="I878" t="inlineStr">
        <is>
          <t>Leetcode</t>
        </is>
      </c>
      <c r="J878" t="inlineStr">
        <is>
          <t>Problem</t>
        </is>
      </c>
    </row>
    <row r="879">
      <c r="A879" t="n">
        <v>523</v>
      </c>
      <c r="B879" t="inlineStr">
        <is>
          <t>Minimum Moves to Move a Box to Their Target Location</t>
        </is>
      </c>
      <c r="C879">
        <f>HYPERLINK("https://leetcode.com/problems/minimum-moves-to-move-a-box-to-their-target-location/description/","minimum-moves-to-move-a-box-to-their-target-location")</f>
        <v/>
      </c>
      <c r="D879" t="inlineStr">
        <is>
          <t>-</t>
        </is>
      </c>
      <c r="E879" t="inlineStr">
        <is>
          <t>Hard</t>
        </is>
      </c>
      <c r="F879" t="n">
        <v>18</v>
      </c>
      <c r="G879" t="inlineStr">
        <is>
          <t>Heap (Priority Queue)</t>
        </is>
      </c>
      <c r="H879" t="inlineStr">
        <is>
          <t>Minimize Operations</t>
        </is>
      </c>
      <c r="I879" t="inlineStr">
        <is>
          <t>Leetcode</t>
        </is>
      </c>
      <c r="J879" t="inlineStr">
        <is>
          <t>Problem</t>
        </is>
      </c>
    </row>
    <row r="880">
      <c r="A880" t="n">
        <v>935</v>
      </c>
      <c r="B880" t="inlineStr">
        <is>
          <t>Minimum Interval to Include Each Query</t>
        </is>
      </c>
      <c r="C880">
        <f>HYPERLINK("https://leetcode.com/problems/minimum-interval-to-include-each-query/description/","minimum-interval-to-include-each-query")</f>
        <v/>
      </c>
      <c r="D880" t="inlineStr">
        <is>
          <t>-</t>
        </is>
      </c>
      <c r="E880" t="inlineStr">
        <is>
          <t>Hard</t>
        </is>
      </c>
      <c r="F880" t="n">
        <v>18</v>
      </c>
      <c r="G880" t="inlineStr">
        <is>
          <t>Heap (Priority Queue)</t>
        </is>
      </c>
      <c r="H880" t="inlineStr">
        <is>
          <t>Minimize Operations</t>
        </is>
      </c>
      <c r="I880" t="inlineStr">
        <is>
          <t>Leetcode</t>
        </is>
      </c>
      <c r="J880" t="inlineStr">
        <is>
          <t>Problem</t>
        </is>
      </c>
    </row>
    <row r="881">
      <c r="A881" t="n">
        <v>793</v>
      </c>
      <c r="B881" t="inlineStr">
        <is>
          <t>Merge k Sorted Lists</t>
        </is>
      </c>
      <c r="C881">
        <f>HYPERLINK("https://leetcode.com/problems/merge-k-sorted-lists/description/","merge-k-sorted-lists")</f>
        <v/>
      </c>
      <c r="D881" t="inlineStr">
        <is>
          <t>-</t>
        </is>
      </c>
      <c r="E881" t="inlineStr">
        <is>
          <t>Hard</t>
        </is>
      </c>
      <c r="F881" t="n">
        <v>18</v>
      </c>
      <c r="G881" t="inlineStr">
        <is>
          <t>Heap (Priority Queue)</t>
        </is>
      </c>
      <c r="H881" t="inlineStr">
        <is>
          <t>Merge K Sorted Patterns</t>
        </is>
      </c>
      <c r="I881" t="inlineStr">
        <is>
          <t>Leetcode</t>
        </is>
      </c>
      <c r="J881" t="inlineStr">
        <is>
          <t>Problem</t>
        </is>
      </c>
    </row>
    <row r="882">
      <c r="A882" t="n">
        <v>903</v>
      </c>
      <c r="B882" t="inlineStr">
        <is>
          <t>Find K Pairs with Smallest Sums</t>
        </is>
      </c>
      <c r="C882">
        <f>HYPERLINK("https://leetcode.com/problems/find-k-pairs-with-smallest-sums/","find-k-pairs-with-smallest-sums")</f>
        <v/>
      </c>
      <c r="D882" t="inlineStr">
        <is>
          <t>-</t>
        </is>
      </c>
      <c r="E882" t="inlineStr">
        <is>
          <t>Hard</t>
        </is>
      </c>
      <c r="F882" t="n">
        <v>18</v>
      </c>
      <c r="G882" t="inlineStr">
        <is>
          <t>Heap (Priority Queue)</t>
        </is>
      </c>
      <c r="H882" t="inlineStr">
        <is>
          <t>Merge K Sorted Patterns</t>
        </is>
      </c>
      <c r="I882" t="inlineStr">
        <is>
          <t>Leetcode</t>
        </is>
      </c>
      <c r="J882" t="inlineStr">
        <is>
          <t>Problem</t>
        </is>
      </c>
    </row>
    <row r="883">
      <c r="A883" t="n">
        <v>1495</v>
      </c>
      <c r="B883" t="inlineStr">
        <is>
          <t>Merge K Sorted Arrays</t>
        </is>
      </c>
      <c r="C883">
        <f>HYPERLINK("https://www.geeksforgeeks.org/problems/merge-k-sorted-arrays/1","Solve Problem")</f>
        <v/>
      </c>
      <c r="D883" t="inlineStr">
        <is>
          <t>-</t>
        </is>
      </c>
      <c r="E883" t="inlineStr">
        <is>
          <t>Medium</t>
        </is>
      </c>
      <c r="F883" t="n">
        <v>18</v>
      </c>
      <c r="G883" t="inlineStr">
        <is>
          <t>Heap (Priority Queue)</t>
        </is>
      </c>
      <c r="H883" t="inlineStr">
        <is>
          <t>Merge K Sorted Patterns</t>
        </is>
      </c>
      <c r="I883" t="inlineStr">
        <is>
          <t>Leetcode</t>
        </is>
      </c>
      <c r="J883" t="inlineStr">
        <is>
          <t>Problem</t>
        </is>
      </c>
    </row>
    <row r="884">
      <c r="A884" t="n">
        <v>1000</v>
      </c>
      <c r="B884" t="inlineStr">
        <is>
          <t>Number of Orders in the Backlog</t>
        </is>
      </c>
      <c r="C884">
        <f>HYPERLINK("https://leetcode.com/problems/number-of-orders-in-the-backlog/","number-of-orders-in-the-backlog")</f>
        <v/>
      </c>
      <c r="D884" t="inlineStr">
        <is>
          <t>-</t>
        </is>
      </c>
      <c r="E884" t="inlineStr">
        <is>
          <t>Medium</t>
        </is>
      </c>
      <c r="F884" t="n">
        <v>18</v>
      </c>
      <c r="G884" t="inlineStr">
        <is>
          <t>Heap (Priority Queue)</t>
        </is>
      </c>
      <c r="H884" t="inlineStr">
        <is>
          <t>Two Heap Pattern</t>
        </is>
      </c>
      <c r="I884" t="inlineStr">
        <is>
          <t>Leetcode</t>
        </is>
      </c>
      <c r="J884" t="inlineStr">
        <is>
          <t>Problem</t>
        </is>
      </c>
    </row>
    <row r="885">
      <c r="A885" t="n">
        <v>834</v>
      </c>
      <c r="B885" t="inlineStr">
        <is>
          <t>Sliding Window Median</t>
        </is>
      </c>
      <c r="C885">
        <f>HYPERLINK("https://leetcode.com/problems/sliding-window-median/description/","sliding-window-median")</f>
        <v/>
      </c>
      <c r="D885" t="inlineStr">
        <is>
          <t>-</t>
        </is>
      </c>
      <c r="E885" t="inlineStr">
        <is>
          <t>Hard</t>
        </is>
      </c>
      <c r="F885" t="n">
        <v>18</v>
      </c>
      <c r="G885" t="inlineStr">
        <is>
          <t>Heap (Priority Queue)</t>
        </is>
      </c>
      <c r="H885" t="inlineStr">
        <is>
          <t>Two Heap Pattern</t>
        </is>
      </c>
      <c r="I885" t="inlineStr">
        <is>
          <t>Leetcode</t>
        </is>
      </c>
      <c r="J885" t="inlineStr">
        <is>
          <t>Problem</t>
        </is>
      </c>
    </row>
    <row r="886">
      <c r="A886" t="n">
        <v>911</v>
      </c>
      <c r="B886" t="inlineStr">
        <is>
          <t>IPO</t>
        </is>
      </c>
      <c r="C886">
        <f>HYPERLINK("https://leetcode.com/problems/ipo/description/","ipo")</f>
        <v/>
      </c>
      <c r="D886" t="inlineStr">
        <is>
          <t>-</t>
        </is>
      </c>
      <c r="E886" t="inlineStr">
        <is>
          <t>Hard</t>
        </is>
      </c>
      <c r="F886" t="n">
        <v>18</v>
      </c>
      <c r="G886" t="inlineStr">
        <is>
          <t>Heap (Priority Queue)</t>
        </is>
      </c>
      <c r="H886" t="inlineStr">
        <is>
          <t>Two Heap Pattern</t>
        </is>
      </c>
      <c r="I886" t="inlineStr">
        <is>
          <t>Leetcode</t>
        </is>
      </c>
      <c r="J886" t="inlineStr">
        <is>
          <t>Problem</t>
        </is>
      </c>
    </row>
    <row r="887">
      <c r="A887" t="n">
        <v>995</v>
      </c>
      <c r="B887" t="inlineStr">
        <is>
          <t>Find Median from Data Stream</t>
        </is>
      </c>
      <c r="C887">
        <f>HYPERLINK("https://leetcode.com/problems/find-median-from-data-stream/","find-median-from-data-stream")</f>
        <v/>
      </c>
      <c r="D887" t="inlineStr">
        <is>
          <t>-</t>
        </is>
      </c>
      <c r="E887" t="inlineStr">
        <is>
          <t>Hard</t>
        </is>
      </c>
      <c r="F887" t="n">
        <v>18</v>
      </c>
      <c r="G887" t="inlineStr">
        <is>
          <t>Heap (Priority Queue)</t>
        </is>
      </c>
      <c r="H887" t="inlineStr">
        <is>
          <t>Two Heap Pattern</t>
        </is>
      </c>
      <c r="I887" t="inlineStr">
        <is>
          <t>Leetcode</t>
        </is>
      </c>
      <c r="J887" t="inlineStr">
        <is>
          <t>Problem</t>
        </is>
      </c>
    </row>
    <row r="888">
      <c r="A888" t="n">
        <v>930</v>
      </c>
      <c r="B888" t="inlineStr">
        <is>
          <t>Meeting Rooms III</t>
        </is>
      </c>
      <c r="C888">
        <f>HYPERLINK("https://leetcode.com/problems/meeting-rooms-iii/","meeting-rooms-iii")</f>
        <v/>
      </c>
      <c r="D888" t="inlineStr">
        <is>
          <t>-</t>
        </is>
      </c>
      <c r="E888" t="inlineStr">
        <is>
          <t>Hard</t>
        </is>
      </c>
      <c r="F888" t="n">
        <v>18</v>
      </c>
      <c r="G888" t="inlineStr">
        <is>
          <t>Heap (Priority Queue)</t>
        </is>
      </c>
      <c r="H888" t="inlineStr">
        <is>
          <t>Two Heap Pattern</t>
        </is>
      </c>
      <c r="I888" t="inlineStr">
        <is>
          <t>Leetcode</t>
        </is>
      </c>
      <c r="J888" t="inlineStr">
        <is>
          <t>Problem</t>
        </is>
      </c>
    </row>
    <row r="889">
      <c r="A889" t="n">
        <v>1015</v>
      </c>
      <c r="B889" t="inlineStr">
        <is>
          <t>Time to Cross a Bridge</t>
        </is>
      </c>
      <c r="C889">
        <f>HYPERLINK("https://leetcode.com/problems/time-to-cross-a-bridge/","time-to-cross-a-bridge")</f>
        <v/>
      </c>
      <c r="D889" t="inlineStr">
        <is>
          <t>-</t>
        </is>
      </c>
      <c r="E889" t="inlineStr">
        <is>
          <t>Hard</t>
        </is>
      </c>
      <c r="F889" t="n">
        <v>18</v>
      </c>
      <c r="G889" t="inlineStr">
        <is>
          <t>Heap (Priority Queue)</t>
        </is>
      </c>
      <c r="H889" t="inlineStr">
        <is>
          <t>Two Heap Pattern</t>
        </is>
      </c>
      <c r="I889" t="inlineStr">
        <is>
          <t>Leetcode</t>
        </is>
      </c>
      <c r="J889" t="inlineStr">
        <is>
          <t>Problem</t>
        </is>
      </c>
    </row>
    <row r="890">
      <c r="A890" t="n">
        <v>1018</v>
      </c>
      <c r="B890" t="inlineStr">
        <is>
          <t>Implement Trie (Prefix Tree)</t>
        </is>
      </c>
      <c r="C890">
        <f>HYPERLINK("https://leetcode.com/problems/implement-trie-prefix-tree/","implement-trie-prefix-tree")</f>
        <v/>
      </c>
      <c r="D890" t="inlineStr">
        <is>
          <t>-</t>
        </is>
      </c>
      <c r="E890" t="inlineStr">
        <is>
          <t>Medium</t>
        </is>
      </c>
      <c r="F890" t="n">
        <v>19</v>
      </c>
      <c r="G890" t="inlineStr">
        <is>
          <t>Tries</t>
        </is>
      </c>
      <c r="H890" t="inlineStr">
        <is>
          <t>Introductory Questions</t>
        </is>
      </c>
      <c r="I890" t="inlineStr">
        <is>
          <t>Leetcode</t>
        </is>
      </c>
      <c r="J890" t="inlineStr">
        <is>
          <t>Problem</t>
        </is>
      </c>
    </row>
    <row r="891">
      <c r="A891" t="n">
        <v>1521</v>
      </c>
      <c r="B891" t="inlineStr">
        <is>
          <t>Trie Delete</t>
        </is>
      </c>
      <c r="C891">
        <f>HYPERLINK("https://www.geeksforgeeks.org/problems/trie-delete/1?itm_source=geeksforgeeks&amp;itm_medium=article&amp;itm_campaign=practice_card","Solve Problem")</f>
        <v/>
      </c>
      <c r="D891" t="inlineStr">
        <is>
          <t>-</t>
        </is>
      </c>
      <c r="E891" t="inlineStr">
        <is>
          <t>Hard</t>
        </is>
      </c>
      <c r="F891" t="n">
        <v>19</v>
      </c>
      <c r="G891" t="inlineStr">
        <is>
          <t>Tries</t>
        </is>
      </c>
      <c r="H891" t="inlineStr">
        <is>
          <t>Introductory Questions</t>
        </is>
      </c>
      <c r="I891" t="inlineStr">
        <is>
          <t>Geeksforgeeks</t>
        </is>
      </c>
      <c r="J891" t="inlineStr">
        <is>
          <t>Problem</t>
        </is>
      </c>
    </row>
    <row r="892">
      <c r="A892" t="n">
        <v>891</v>
      </c>
      <c r="B892" t="inlineStr">
        <is>
          <t>Design Add and Search Words Data Structure</t>
        </is>
      </c>
      <c r="C892">
        <f>HYPERLINK("https://leetcode.com/problems/design-add-and-search-words-data-structure/","design-add-and-search-words-data-structure")</f>
        <v/>
      </c>
      <c r="D892" t="inlineStr">
        <is>
          <t>-</t>
        </is>
      </c>
      <c r="E892" t="inlineStr">
        <is>
          <t>Medium</t>
        </is>
      </c>
      <c r="F892" t="n">
        <v>19</v>
      </c>
      <c r="G892" t="inlineStr">
        <is>
          <t>Tries</t>
        </is>
      </c>
      <c r="H892" t="inlineStr">
        <is>
          <t>Introductory Questions</t>
        </is>
      </c>
      <c r="I892" t="inlineStr">
        <is>
          <t>Leetcode</t>
        </is>
      </c>
      <c r="J892" t="inlineStr">
        <is>
          <t>Problem</t>
        </is>
      </c>
    </row>
    <row r="893">
      <c r="A893" t="n">
        <v>922</v>
      </c>
      <c r="B893" t="inlineStr">
        <is>
          <t>Map Sum Pairs</t>
        </is>
      </c>
      <c r="C893">
        <f>HYPERLINK("https://leetcode.com/problems/map-sum-pairs/","map-sum-pairs")</f>
        <v/>
      </c>
      <c r="D893" t="inlineStr">
        <is>
          <t>-</t>
        </is>
      </c>
      <c r="E893" t="inlineStr">
        <is>
          <t>Medium</t>
        </is>
      </c>
      <c r="F893" t="n">
        <v>19</v>
      </c>
      <c r="G893" t="inlineStr">
        <is>
          <t>Tries</t>
        </is>
      </c>
      <c r="H893" t="inlineStr">
        <is>
          <t>Introductory Questions</t>
        </is>
      </c>
      <c r="I893" t="inlineStr">
        <is>
          <t>Leetcode</t>
        </is>
      </c>
      <c r="J893" t="inlineStr">
        <is>
          <t>Problem</t>
        </is>
      </c>
    </row>
    <row r="894">
      <c r="A894" t="n">
        <v>928</v>
      </c>
      <c r="B894" t="inlineStr">
        <is>
          <t>Maximum XOR of Two Numbers in an Array</t>
        </is>
      </c>
      <c r="C894">
        <f>HYPERLINK("https://leetcode.com/problems/maximum-xor-of-two-numbers-in-an-array/","maximum-xor-of-two-numbers-in-an-array")</f>
        <v/>
      </c>
      <c r="D894" t="inlineStr">
        <is>
          <t>-</t>
        </is>
      </c>
      <c r="E894" t="inlineStr">
        <is>
          <t>Hard</t>
        </is>
      </c>
      <c r="F894" t="n">
        <v>19</v>
      </c>
      <c r="G894" t="inlineStr">
        <is>
          <t>Tries</t>
        </is>
      </c>
      <c r="H894" t="inlineStr">
        <is>
          <t>Trie with Bit Manipulation</t>
        </is>
      </c>
      <c r="I894" t="inlineStr">
        <is>
          <t>Leetcode</t>
        </is>
      </c>
      <c r="J894" t="inlineStr">
        <is>
          <t>Problem</t>
        </is>
      </c>
    </row>
    <row r="895">
      <c r="A895" t="n">
        <v>1497</v>
      </c>
      <c r="B895" t="inlineStr">
        <is>
          <t>Minimum XOR Value Pair</t>
        </is>
      </c>
      <c r="C895">
        <f>HYPERLINK("https://www.geeksforgeeks.org/problems/minimum-xor-value-pair/1?itm_source=geeksforgeeks&amp;itm_medium=article&amp;itm_campaign=practice_card","Solve Problem")</f>
        <v/>
      </c>
      <c r="D895" t="inlineStr">
        <is>
          <t>-</t>
        </is>
      </c>
      <c r="E895" t="inlineStr">
        <is>
          <t>Hard</t>
        </is>
      </c>
      <c r="F895" t="n">
        <v>19</v>
      </c>
      <c r="G895" t="inlineStr">
        <is>
          <t>Tries</t>
        </is>
      </c>
      <c r="H895" t="inlineStr">
        <is>
          <t>Trie with Bit Manipulation</t>
        </is>
      </c>
      <c r="I895" t="inlineStr">
        <is>
          <t>Geeksforgeeks</t>
        </is>
      </c>
      <c r="J895" t="inlineStr">
        <is>
          <t>Problem</t>
        </is>
      </c>
    </row>
    <row r="896">
      <c r="A896" t="n">
        <v>929</v>
      </c>
      <c r="B896" t="inlineStr">
        <is>
          <t>Maximum XOR With an Element From Array</t>
        </is>
      </c>
      <c r="C896">
        <f>HYPERLINK("https://leetcode.com/problems/maximum-xor-with-an-element-from-array/","maximum-xor-with-an-element-from-array")</f>
        <v/>
      </c>
      <c r="D896" t="inlineStr">
        <is>
          <t>-</t>
        </is>
      </c>
      <c r="E896" t="inlineStr">
        <is>
          <t>Hard</t>
        </is>
      </c>
      <c r="F896" t="n">
        <v>19</v>
      </c>
      <c r="G896" t="inlineStr">
        <is>
          <t>Tries</t>
        </is>
      </c>
      <c r="H896" t="inlineStr">
        <is>
          <t>Trie with Bit Manipulation</t>
        </is>
      </c>
      <c r="I896" t="inlineStr">
        <is>
          <t>Leetcode</t>
        </is>
      </c>
      <c r="J896" t="inlineStr">
        <is>
          <t>Problem</t>
        </is>
      </c>
    </row>
    <row r="897">
      <c r="A897" t="n">
        <v>887</v>
      </c>
      <c r="B897" t="inlineStr">
        <is>
          <t>Count Pairs With XOR in a Range</t>
        </is>
      </c>
      <c r="C897">
        <f>HYPERLINK("https://leetcode.com/problems/count-pairs-with-xor-in-a-range/","count-pairs-with-xor-in-a-range")</f>
        <v/>
      </c>
      <c r="D897" t="inlineStr">
        <is>
          <t>-</t>
        </is>
      </c>
      <c r="E897" t="inlineStr">
        <is>
          <t>Hard</t>
        </is>
      </c>
      <c r="F897" t="n">
        <v>19</v>
      </c>
      <c r="G897" t="inlineStr">
        <is>
          <t>Tries</t>
        </is>
      </c>
      <c r="H897" t="inlineStr">
        <is>
          <t>Trie with Bit Manipulation</t>
        </is>
      </c>
      <c r="I897" t="inlineStr">
        <is>
          <t>Leetcode</t>
        </is>
      </c>
      <c r="J897" t="inlineStr">
        <is>
          <t>Problem</t>
        </is>
      </c>
    </row>
    <row r="898">
      <c r="A898" t="n">
        <v>926</v>
      </c>
      <c r="B898" t="inlineStr">
        <is>
          <t>Maximum Strong Pair XOR II</t>
        </is>
      </c>
      <c r="C898">
        <f>HYPERLINK("https://leetcode.com/problems/maximum-strong-pair-xor-ii/","maximum-strong-pair-xor-ii")</f>
        <v/>
      </c>
      <c r="D898" t="inlineStr">
        <is>
          <t>-</t>
        </is>
      </c>
      <c r="E898" t="inlineStr">
        <is>
          <t>Hard</t>
        </is>
      </c>
      <c r="F898" t="n">
        <v>19</v>
      </c>
      <c r="G898" t="inlineStr">
        <is>
          <t>Tries</t>
        </is>
      </c>
      <c r="H898" t="inlineStr">
        <is>
          <t>Trie with Bit Manipulation</t>
        </is>
      </c>
      <c r="I898" t="inlineStr">
        <is>
          <t>Leetcode</t>
        </is>
      </c>
      <c r="J898" t="inlineStr">
        <is>
          <t>Problem</t>
        </is>
      </c>
    </row>
    <row r="899">
      <c r="A899" t="n">
        <v>956</v>
      </c>
      <c r="B899" t="inlineStr">
        <is>
          <t>Longest Common Prefix</t>
        </is>
      </c>
      <c r="C899">
        <f>HYPERLINK("https://leetcode.com/problems/longest-common-prefix/","longest-common-prefix")</f>
        <v/>
      </c>
      <c r="D899" t="inlineStr">
        <is>
          <t>-</t>
        </is>
      </c>
      <c r="E899" t="inlineStr">
        <is>
          <t>Medium</t>
        </is>
      </c>
      <c r="F899" t="n">
        <v>19</v>
      </c>
      <c r="G899" t="inlineStr">
        <is>
          <t>Tries</t>
        </is>
      </c>
      <c r="H899" t="inlineStr">
        <is>
          <t>Trie involving String</t>
        </is>
      </c>
      <c r="I899" t="inlineStr">
        <is>
          <t>Leetcode</t>
        </is>
      </c>
      <c r="J899" t="inlineStr">
        <is>
          <t>Problem</t>
        </is>
      </c>
    </row>
    <row r="900">
      <c r="A900" t="n">
        <v>905</v>
      </c>
      <c r="B900" t="inlineStr">
        <is>
          <t>Find the Length of the Longest Common Prefix</t>
        </is>
      </c>
      <c r="C900">
        <f>HYPERLINK("https://leetcode.com/problems/find-the-length-of-the-longest-common-prefix/","find-the-length-of-the-longest-common-prefix")</f>
        <v/>
      </c>
      <c r="D900" t="inlineStr">
        <is>
          <t>-</t>
        </is>
      </c>
      <c r="E900" t="inlineStr">
        <is>
          <t>Medium</t>
        </is>
      </c>
      <c r="F900" t="n">
        <v>19</v>
      </c>
      <c r="G900" t="inlineStr">
        <is>
          <t>Tries</t>
        </is>
      </c>
      <c r="H900" t="inlineStr">
        <is>
          <t>Trie involving String</t>
        </is>
      </c>
      <c r="I900" t="inlineStr">
        <is>
          <t>Leetcode</t>
        </is>
      </c>
      <c r="J900" t="inlineStr">
        <is>
          <t>Problem</t>
        </is>
      </c>
    </row>
    <row r="901">
      <c r="A901" t="n">
        <v>980</v>
      </c>
      <c r="B901" t="inlineStr">
        <is>
          <t>Search Suggestions System</t>
        </is>
      </c>
      <c r="C901">
        <f>HYPERLINK("https://leetcode.com/problems/search-suggestions-system/","search-suggestions-system")</f>
        <v/>
      </c>
      <c r="D901" t="inlineStr">
        <is>
          <t>-</t>
        </is>
      </c>
      <c r="E901" t="inlineStr">
        <is>
          <t>Medium</t>
        </is>
      </c>
      <c r="F901" t="n">
        <v>19</v>
      </c>
      <c r="G901" t="inlineStr">
        <is>
          <t>Tries</t>
        </is>
      </c>
      <c r="H901" t="inlineStr">
        <is>
          <t>Trie involving String</t>
        </is>
      </c>
      <c r="I901" t="inlineStr">
        <is>
          <t>Leetcode</t>
        </is>
      </c>
      <c r="J901" t="inlineStr">
        <is>
          <t>Problem</t>
        </is>
      </c>
    </row>
    <row r="902">
      <c r="A902" t="n">
        <v>989</v>
      </c>
      <c r="B902" t="inlineStr">
        <is>
          <t>Sum of Prefix Scores of Strings</t>
        </is>
      </c>
      <c r="C902">
        <f>HYPERLINK("https://leetcode.com/problems/sum-of-prefix-scores-of-strings/","sum-of-prefix-scores-of-strings")</f>
        <v/>
      </c>
      <c r="D902" t="inlineStr">
        <is>
          <t>-</t>
        </is>
      </c>
      <c r="E902" t="inlineStr">
        <is>
          <t>Hard</t>
        </is>
      </c>
      <c r="F902" t="n">
        <v>19</v>
      </c>
      <c r="G902" t="inlineStr">
        <is>
          <t>Tries</t>
        </is>
      </c>
      <c r="H902" t="inlineStr">
        <is>
          <t>Trie involving String</t>
        </is>
      </c>
      <c r="I902" t="inlineStr">
        <is>
          <t>Leetcode</t>
        </is>
      </c>
      <c r="J902" t="inlineStr">
        <is>
          <t>Problem</t>
        </is>
      </c>
    </row>
    <row r="903">
      <c r="A903" t="n">
        <v>1020</v>
      </c>
      <c r="B903" t="inlineStr">
        <is>
          <t>Prefix and Suffix Search</t>
        </is>
      </c>
      <c r="C903">
        <f>HYPERLINK("https://leetcode.com/problems/prefix-and-suffix-search/","prefix-and-suffix-search")</f>
        <v/>
      </c>
      <c r="D903" t="inlineStr">
        <is>
          <t>-</t>
        </is>
      </c>
      <c r="E903" t="inlineStr">
        <is>
          <t>Hard</t>
        </is>
      </c>
      <c r="F903" t="n">
        <v>19</v>
      </c>
      <c r="G903" t="inlineStr">
        <is>
          <t>Tries</t>
        </is>
      </c>
      <c r="H903" t="inlineStr">
        <is>
          <t>Trie involving String</t>
        </is>
      </c>
      <c r="I903" t="inlineStr">
        <is>
          <t>Leetcode</t>
        </is>
      </c>
      <c r="J903" t="inlineStr">
        <is>
          <t>Problem</t>
        </is>
      </c>
    </row>
    <row r="904">
      <c r="A904" t="n">
        <v>916</v>
      </c>
      <c r="B904" t="inlineStr">
        <is>
          <t>Longest Common Suffix Queries</t>
        </is>
      </c>
      <c r="C904">
        <f>HYPERLINK("https://leetcode.com/problems/longest-common-suffix-queries/","longest-common-suffix-queries")</f>
        <v/>
      </c>
      <c r="D904" t="inlineStr">
        <is>
          <t>-</t>
        </is>
      </c>
      <c r="E904" t="inlineStr">
        <is>
          <t>Hard</t>
        </is>
      </c>
      <c r="F904" t="n">
        <v>19</v>
      </c>
      <c r="G904" t="inlineStr">
        <is>
          <t>Tries</t>
        </is>
      </c>
      <c r="H904" t="inlineStr">
        <is>
          <t>Trie involving String</t>
        </is>
      </c>
      <c r="I904" t="inlineStr">
        <is>
          <t>Leetcode</t>
        </is>
      </c>
      <c r="J904" t="inlineStr">
        <is>
          <t>Problem</t>
        </is>
      </c>
    </row>
    <row r="905">
      <c r="A905" t="n">
        <v>114</v>
      </c>
      <c r="B905" t="inlineStr">
        <is>
          <t>Count Prefix and Suffix Pairs II</t>
        </is>
      </c>
      <c r="C905">
        <f>HYPERLINK("https://leetcode.com/problems/count-prefix-and-suffix-pairs-ii/description/","count-prefix-and-suffix-pairs-ii")</f>
        <v/>
      </c>
      <c r="D905" t="inlineStr">
        <is>
          <t>-</t>
        </is>
      </c>
      <c r="E905" t="inlineStr">
        <is>
          <t>Hard</t>
        </is>
      </c>
      <c r="F905" t="n">
        <v>19</v>
      </c>
      <c r="G905" t="inlineStr">
        <is>
          <t>Tries</t>
        </is>
      </c>
      <c r="H905" t="inlineStr">
        <is>
          <t>Trie involving String</t>
        </is>
      </c>
      <c r="I905" t="inlineStr">
        <is>
          <t>Leetcode</t>
        </is>
      </c>
      <c r="J905" t="inlineStr">
        <is>
          <t>Problem</t>
        </is>
      </c>
    </row>
    <row r="906">
      <c r="A906" t="n">
        <v>1010</v>
      </c>
      <c r="B906" t="inlineStr">
        <is>
          <t>Stream of Characters</t>
        </is>
      </c>
      <c r="C906">
        <f>HYPERLINK("https://leetcode.com/problems/stream-of-characters/","stream-of-characters")</f>
        <v/>
      </c>
      <c r="D906" t="inlineStr">
        <is>
          <t>-</t>
        </is>
      </c>
      <c r="E906" t="inlineStr">
        <is>
          <t>Hard</t>
        </is>
      </c>
      <c r="F906" t="n">
        <v>19</v>
      </c>
      <c r="G906" t="inlineStr">
        <is>
          <t>Tries</t>
        </is>
      </c>
      <c r="H906" t="inlineStr">
        <is>
          <t>Trie involving String</t>
        </is>
      </c>
      <c r="I906" t="inlineStr">
        <is>
          <t>Leetcode</t>
        </is>
      </c>
      <c r="J906" t="inlineStr">
        <is>
          <t>Problem</t>
        </is>
      </c>
    </row>
    <row r="907">
      <c r="A907" t="n">
        <v>896</v>
      </c>
      <c r="B907" t="inlineStr">
        <is>
          <t>Extra Characters in a String</t>
        </is>
      </c>
      <c r="C907">
        <f>HYPERLINK("https://leetcode.com/problems/extra-characters-in-a-string/","extra-characters-in-a-string")</f>
        <v/>
      </c>
      <c r="D907" t="inlineStr">
        <is>
          <t>-</t>
        </is>
      </c>
      <c r="E907" t="inlineStr">
        <is>
          <t>Medium</t>
        </is>
      </c>
      <c r="F907" t="n">
        <v>19</v>
      </c>
      <c r="G907" t="inlineStr">
        <is>
          <t>Tries</t>
        </is>
      </c>
      <c r="H907" t="inlineStr">
        <is>
          <t>Trie involving String</t>
        </is>
      </c>
      <c r="I907" t="inlineStr">
        <is>
          <t>Leetcode</t>
        </is>
      </c>
      <c r="J907" t="inlineStr">
        <is>
          <t>Problem</t>
        </is>
      </c>
    </row>
    <row r="908">
      <c r="A908" t="n">
        <v>910</v>
      </c>
      <c r="B908" t="inlineStr">
        <is>
          <t>Implement Magic Dictionary</t>
        </is>
      </c>
      <c r="C908">
        <f>HYPERLINK("https://leetcode.com/problems/implement-magic-dictionary/","implement-magic-dictionary")</f>
        <v/>
      </c>
      <c r="D908" t="inlineStr">
        <is>
          <t>-</t>
        </is>
      </c>
      <c r="E908" t="inlineStr">
        <is>
          <t>Medium</t>
        </is>
      </c>
      <c r="F908" t="n">
        <v>19</v>
      </c>
      <c r="G908" t="inlineStr">
        <is>
          <t>Tries</t>
        </is>
      </c>
      <c r="H908" t="inlineStr">
        <is>
          <t>Trie involving String</t>
        </is>
      </c>
      <c r="I908" t="inlineStr">
        <is>
          <t>Leetcode</t>
        </is>
      </c>
      <c r="J908" t="inlineStr">
        <is>
          <t>Problem</t>
        </is>
      </c>
    </row>
    <row r="909">
      <c r="A909" t="n">
        <v>961</v>
      </c>
      <c r="B909" t="inlineStr">
        <is>
          <t>Number of Matching Subsequences</t>
        </is>
      </c>
      <c r="C909">
        <f>HYPERLINK("https://leetcode.com/problems/number-of-matching-subsequences/","number-of-matching-subsequences")</f>
        <v/>
      </c>
      <c r="D909" t="inlineStr">
        <is>
          <t>-</t>
        </is>
      </c>
      <c r="E909" t="inlineStr">
        <is>
          <t>Medium</t>
        </is>
      </c>
      <c r="F909" t="n">
        <v>19</v>
      </c>
      <c r="G909" t="inlineStr">
        <is>
          <t>Tries</t>
        </is>
      </c>
      <c r="H909" t="inlineStr">
        <is>
          <t>Trie involving String</t>
        </is>
      </c>
      <c r="I909" t="inlineStr">
        <is>
          <t>Leetcode</t>
        </is>
      </c>
      <c r="J909" t="inlineStr">
        <is>
          <t>Problem</t>
        </is>
      </c>
    </row>
    <row r="910">
      <c r="A910" t="n">
        <v>1007</v>
      </c>
      <c r="B910" t="inlineStr">
        <is>
          <t>Camelcase Matching</t>
        </is>
      </c>
      <c r="C910">
        <f>HYPERLINK("https://leetcode.com/problems/camelcase-matching/","camelcase-matching")</f>
        <v/>
      </c>
      <c r="D910" t="inlineStr">
        <is>
          <t>-</t>
        </is>
      </c>
      <c r="E910" t="inlineStr">
        <is>
          <t>Medium</t>
        </is>
      </c>
      <c r="F910" t="n">
        <v>19</v>
      </c>
      <c r="G910" t="inlineStr">
        <is>
          <t>Tries</t>
        </is>
      </c>
      <c r="H910" t="inlineStr">
        <is>
          <t>Trie involving String</t>
        </is>
      </c>
      <c r="I910" t="inlineStr">
        <is>
          <t>Leetcode</t>
        </is>
      </c>
      <c r="J910" t="inlineStr">
        <is>
          <t>Problem</t>
        </is>
      </c>
    </row>
    <row r="911">
      <c r="A911" t="n">
        <v>981</v>
      </c>
      <c r="B911" t="inlineStr">
        <is>
          <t>Short Encoding of Words</t>
        </is>
      </c>
      <c r="C911">
        <f>HYPERLINK("https://leetcode.com/problems/short-encoding-of-words/","short-encoding-of-words")</f>
        <v/>
      </c>
      <c r="D911" t="inlineStr">
        <is>
          <t>-</t>
        </is>
      </c>
      <c r="E911" t="inlineStr">
        <is>
          <t>Medium</t>
        </is>
      </c>
      <c r="F911" t="n">
        <v>19</v>
      </c>
      <c r="G911" t="inlineStr">
        <is>
          <t>Tries</t>
        </is>
      </c>
      <c r="H911" t="inlineStr">
        <is>
          <t>Trie involving String</t>
        </is>
      </c>
      <c r="I911" t="inlineStr">
        <is>
          <t>Leetcode</t>
        </is>
      </c>
      <c r="J911" t="inlineStr">
        <is>
          <t>Problem</t>
        </is>
      </c>
    </row>
    <row r="912">
      <c r="A912" t="n">
        <v>994</v>
      </c>
      <c r="B912" t="inlineStr">
        <is>
          <t>Encrypt and Decrypt Strings</t>
        </is>
      </c>
      <c r="C912">
        <f>HYPERLINK("https://leetcode.com/problems/encrypt-and-decrypt-strings/","encrypt-and-decrypt-strings")</f>
        <v/>
      </c>
      <c r="D912" t="inlineStr">
        <is>
          <t>-</t>
        </is>
      </c>
      <c r="E912" t="inlineStr">
        <is>
          <t>Hard</t>
        </is>
      </c>
      <c r="F912" t="n">
        <v>19</v>
      </c>
      <c r="G912" t="inlineStr">
        <is>
          <t>Tries</t>
        </is>
      </c>
      <c r="H912" t="inlineStr">
        <is>
          <t>Trie involving String</t>
        </is>
      </c>
      <c r="I912" t="inlineStr">
        <is>
          <t>Leetcode</t>
        </is>
      </c>
      <c r="J912" t="inlineStr">
        <is>
          <t>Problem</t>
        </is>
      </c>
    </row>
    <row r="913">
      <c r="A913" t="n">
        <v>919</v>
      </c>
      <c r="B913" t="inlineStr">
        <is>
          <t>Longest Word in Dictionary</t>
        </is>
      </c>
      <c r="C913">
        <f>HYPERLINK("https://leetcode.com/problems/longest-word-in-dictionary/description/","longest-word-in-dictionary")</f>
        <v/>
      </c>
      <c r="D913" t="inlineStr">
        <is>
          <t>-</t>
        </is>
      </c>
      <c r="E913" t="inlineStr">
        <is>
          <t>Medium</t>
        </is>
      </c>
      <c r="F913" t="n">
        <v>19</v>
      </c>
      <c r="G913" t="inlineStr">
        <is>
          <t>Tries</t>
        </is>
      </c>
      <c r="H913" t="inlineStr">
        <is>
          <t>Trie involving String</t>
        </is>
      </c>
      <c r="I913" t="inlineStr">
        <is>
          <t>Leetcode</t>
        </is>
      </c>
      <c r="J913" t="inlineStr">
        <is>
          <t>Problem</t>
        </is>
      </c>
    </row>
    <row r="914">
      <c r="A914" t="n">
        <v>886</v>
      </c>
      <c r="B914" t="inlineStr">
        <is>
          <t>Construct String With Minimum Cost</t>
        </is>
      </c>
      <c r="C914">
        <f>HYPERLINK("https://leetcode.com/problems/construct-string-with-minimum-cost/description/","construct-string-with-minimum-cost")</f>
        <v/>
      </c>
      <c r="D914" t="inlineStr">
        <is>
          <t>-</t>
        </is>
      </c>
      <c r="E914" t="inlineStr">
        <is>
          <t>Hard</t>
        </is>
      </c>
      <c r="F914" t="n">
        <v>19</v>
      </c>
      <c r="G914" t="inlineStr">
        <is>
          <t>Tries</t>
        </is>
      </c>
      <c r="H914" t="inlineStr">
        <is>
          <t>Trie involving String</t>
        </is>
      </c>
      <c r="I914" t="inlineStr">
        <is>
          <t>Leetcode</t>
        </is>
      </c>
      <c r="J914" t="inlineStr">
        <is>
          <t>Problem</t>
        </is>
      </c>
    </row>
    <row r="915">
      <c r="A915" t="n">
        <v>986</v>
      </c>
      <c r="B915" t="inlineStr">
        <is>
          <t>Shortest Uncommon Substring in an Array</t>
        </is>
      </c>
      <c r="C915">
        <f>HYPERLINK("https://leetcode.com/problems/shortest-uncommon-substring-in-an-array/","shortest-uncommon-substring-in-an-array")</f>
        <v/>
      </c>
      <c r="D915" t="inlineStr">
        <is>
          <t>-</t>
        </is>
      </c>
      <c r="E915" t="inlineStr">
        <is>
          <t>Medium</t>
        </is>
      </c>
      <c r="F915" t="n">
        <v>19</v>
      </c>
      <c r="G915" t="inlineStr">
        <is>
          <t>Tries</t>
        </is>
      </c>
      <c r="H915" t="inlineStr">
        <is>
          <t>Trie involving Recursion</t>
        </is>
      </c>
      <c r="I915" t="inlineStr">
        <is>
          <t>Leetcode</t>
        </is>
      </c>
      <c r="J915" t="inlineStr">
        <is>
          <t>Problem</t>
        </is>
      </c>
    </row>
    <row r="916">
      <c r="A916" t="n">
        <v>780</v>
      </c>
      <c r="B916" t="inlineStr">
        <is>
          <t>Word Break</t>
        </is>
      </c>
      <c r="C916">
        <f>HYPERLINK("https://leetcode.com/problems/word-break/","word-break")</f>
        <v/>
      </c>
      <c r="D916" t="inlineStr">
        <is>
          <t>-</t>
        </is>
      </c>
      <c r="E916" t="inlineStr">
        <is>
          <t>Medium</t>
        </is>
      </c>
      <c r="F916" t="n">
        <v>19</v>
      </c>
      <c r="G916" t="inlineStr">
        <is>
          <t>Tries</t>
        </is>
      </c>
      <c r="H916" t="inlineStr">
        <is>
          <t>Trie involving Recursion</t>
        </is>
      </c>
      <c r="I916" t="inlineStr">
        <is>
          <t>Leetcode</t>
        </is>
      </c>
      <c r="J916" t="inlineStr">
        <is>
          <t>Problem</t>
        </is>
      </c>
    </row>
    <row r="917">
      <c r="A917" t="n">
        <v>781</v>
      </c>
      <c r="B917" t="inlineStr">
        <is>
          <t>Word Break II</t>
        </is>
      </c>
      <c r="C917">
        <f>HYPERLINK("https://leetcode.com/problems/word-break-ii/","word-break-ii")</f>
        <v/>
      </c>
      <c r="D917" t="inlineStr">
        <is>
          <t>-</t>
        </is>
      </c>
      <c r="E917" t="inlineStr">
        <is>
          <t>Hard</t>
        </is>
      </c>
      <c r="F917" t="n">
        <v>19</v>
      </c>
      <c r="G917" t="inlineStr">
        <is>
          <t>Tries</t>
        </is>
      </c>
      <c r="H917" t="inlineStr">
        <is>
          <t>Trie involving Recursion</t>
        </is>
      </c>
      <c r="I917" t="inlineStr">
        <is>
          <t>Leetcode</t>
        </is>
      </c>
      <c r="J917" t="inlineStr">
        <is>
          <t>Problem</t>
        </is>
      </c>
    </row>
    <row r="918">
      <c r="A918" t="n">
        <v>992</v>
      </c>
      <c r="B918" t="inlineStr">
        <is>
          <t>Word Search II</t>
        </is>
      </c>
      <c r="C918">
        <f>HYPERLINK("https://leetcode.com/problems/word-search-ii/","word-search-ii")</f>
        <v/>
      </c>
      <c r="D918" t="inlineStr">
        <is>
          <t>-</t>
        </is>
      </c>
      <c r="E918" t="inlineStr">
        <is>
          <t>Hard</t>
        </is>
      </c>
      <c r="F918" t="n">
        <v>19</v>
      </c>
      <c r="G918" t="inlineStr">
        <is>
          <t>Tries</t>
        </is>
      </c>
      <c r="H918" t="inlineStr">
        <is>
          <t>Trie involving Recursion</t>
        </is>
      </c>
      <c r="I918" t="inlineStr">
        <is>
          <t>Leetcode</t>
        </is>
      </c>
      <c r="J918" t="inlineStr">
        <is>
          <t>Problem</t>
        </is>
      </c>
    </row>
    <row r="919">
      <c r="A919" t="n">
        <v>965</v>
      </c>
      <c r="B919" t="inlineStr">
        <is>
          <t>Palindrome Pairs</t>
        </is>
      </c>
      <c r="C919">
        <f>HYPERLINK("https://leetcode.com/problems/palindrome-pairs/","palindrome-pairs")</f>
        <v/>
      </c>
      <c r="D919" t="inlineStr">
        <is>
          <t>-</t>
        </is>
      </c>
      <c r="E919" t="inlineStr">
        <is>
          <t>Hard</t>
        </is>
      </c>
      <c r="F919" t="n">
        <v>19</v>
      </c>
      <c r="G919" t="inlineStr">
        <is>
          <t>Tries</t>
        </is>
      </c>
      <c r="H919" t="inlineStr">
        <is>
          <t>Trie involving Recursion</t>
        </is>
      </c>
      <c r="I919" t="inlineStr">
        <is>
          <t>Leetcode</t>
        </is>
      </c>
      <c r="J919" t="inlineStr">
        <is>
          <t>Problem</t>
        </is>
      </c>
    </row>
    <row r="920">
      <c r="A920" t="n">
        <v>977</v>
      </c>
      <c r="B920" t="inlineStr">
        <is>
          <t>Remove Sub-Folders from the Filesystem</t>
        </is>
      </c>
      <c r="C920">
        <f>HYPERLINK("https://leetcode.com/problems/remove-sub-folders-from-the-filesystem/","remove-sub-folders-from-the-filesystem")</f>
        <v/>
      </c>
      <c r="D920" t="inlineStr">
        <is>
          <t>-</t>
        </is>
      </c>
      <c r="E920" t="inlineStr">
        <is>
          <t>Hard</t>
        </is>
      </c>
      <c r="F920" t="n">
        <v>19</v>
      </c>
      <c r="G920" t="inlineStr">
        <is>
          <t>Tries</t>
        </is>
      </c>
      <c r="H920" t="inlineStr">
        <is>
          <t>Trie involving File System</t>
        </is>
      </c>
      <c r="I920" t="inlineStr">
        <is>
          <t>Leetcode</t>
        </is>
      </c>
      <c r="J920" t="inlineStr">
        <is>
          <t>Problem</t>
        </is>
      </c>
    </row>
    <row r="921">
      <c r="A921" t="n">
        <v>890</v>
      </c>
      <c r="B921" t="inlineStr">
        <is>
          <t>Delete Duplicate Folders in System</t>
        </is>
      </c>
      <c r="C921">
        <f>HYPERLINK("https://leetcode.com/problems/delete-duplicate-folders-in-system/","delete-duplicate-folders-in-system")</f>
        <v/>
      </c>
      <c r="D921" t="inlineStr">
        <is>
          <t>-</t>
        </is>
      </c>
      <c r="E921" t="inlineStr">
        <is>
          <t>Medium</t>
        </is>
      </c>
      <c r="F921" t="n">
        <v>19</v>
      </c>
      <c r="G921" t="inlineStr">
        <is>
          <t>Tries</t>
        </is>
      </c>
      <c r="H921" t="inlineStr">
        <is>
          <t>Trie involving File System</t>
        </is>
      </c>
      <c r="I921" t="inlineStr">
        <is>
          <t>Leetcode</t>
        </is>
      </c>
      <c r="J921" t="inlineStr">
        <is>
          <t>Problem</t>
        </is>
      </c>
    </row>
    <row r="922">
      <c r="A922" t="n">
        <v>311</v>
      </c>
      <c r="B922" t="inlineStr">
        <is>
          <t>Maximum 69 Number</t>
        </is>
      </c>
      <c r="C922">
        <f>HYPERLINK("https://leetcode.com/problems/maximum-69-number/description/","maximum-69-number")</f>
        <v/>
      </c>
      <c r="D922" t="inlineStr">
        <is>
          <t>-</t>
        </is>
      </c>
      <c r="E922" t="inlineStr">
        <is>
          <t>Easy</t>
        </is>
      </c>
      <c r="F922" t="n">
        <v>20</v>
      </c>
      <c r="G922" t="inlineStr">
        <is>
          <t>Greedy</t>
        </is>
      </c>
      <c r="H922" t="inlineStr">
        <is>
          <t>Part I</t>
        </is>
      </c>
      <c r="I922" t="inlineStr">
        <is>
          <t>Leetcode</t>
        </is>
      </c>
      <c r="J922" t="inlineStr">
        <is>
          <t>Problem</t>
        </is>
      </c>
    </row>
    <row r="923">
      <c r="A923" t="n">
        <v>350</v>
      </c>
      <c r="B923" t="inlineStr">
        <is>
          <t>Maximum Sum with Exactly K Elements</t>
        </is>
      </c>
      <c r="C923">
        <f>HYPERLINK("https://leetcode.com/problems/maximum-sum-with-exactly-k-elements/description/","maximum-sum-with-exactly-k-elements")</f>
        <v/>
      </c>
      <c r="D923" t="inlineStr">
        <is>
          <t>-</t>
        </is>
      </c>
      <c r="E923" t="inlineStr">
        <is>
          <t>Easy</t>
        </is>
      </c>
      <c r="F923" t="n">
        <v>20</v>
      </c>
      <c r="G923" t="inlineStr">
        <is>
          <t>Greedy</t>
        </is>
      </c>
      <c r="H923" t="inlineStr">
        <is>
          <t>Part I</t>
        </is>
      </c>
      <c r="I923" t="inlineStr">
        <is>
          <t>Leetcode</t>
        </is>
      </c>
      <c r="J923" t="inlineStr">
        <is>
          <t>Problem</t>
        </is>
      </c>
    </row>
    <row r="924">
      <c r="A924" t="n">
        <v>530</v>
      </c>
      <c r="B924" t="inlineStr">
        <is>
          <t>Minimum Time to Type Word Using Special Typewriter</t>
        </is>
      </c>
      <c r="C924">
        <f>HYPERLINK("https://leetcode.com/problems/minimum-time-to-type-word-using-special-typewriter/description/","minimum-time-to-type-word-using-special-typewriter")</f>
        <v/>
      </c>
      <c r="D924" t="inlineStr">
        <is>
          <t>-</t>
        </is>
      </c>
      <c r="E924" t="inlineStr">
        <is>
          <t>Easy</t>
        </is>
      </c>
      <c r="F924" t="n">
        <v>20</v>
      </c>
      <c r="G924" t="inlineStr">
        <is>
          <t>Greedy</t>
        </is>
      </c>
      <c r="H924" t="inlineStr">
        <is>
          <t>Part I</t>
        </is>
      </c>
      <c r="I924" t="inlineStr">
        <is>
          <t>Leetcode</t>
        </is>
      </c>
      <c r="J924" t="inlineStr">
        <is>
          <t>Problem</t>
        </is>
      </c>
    </row>
    <row r="925">
      <c r="A925" t="n">
        <v>408</v>
      </c>
      <c r="B925" t="inlineStr">
        <is>
          <t>Minimum Operations to Make the Array Increasing</t>
        </is>
      </c>
      <c r="C925">
        <f>HYPERLINK("https://leetcode.com/problems/minimum-operations-to-make-the-array-increasing/description/","minimum-operations-to-make-the-array-increasing")</f>
        <v/>
      </c>
      <c r="D925" t="inlineStr">
        <is>
          <t>-</t>
        </is>
      </c>
      <c r="E925" t="inlineStr">
        <is>
          <t>Easy</t>
        </is>
      </c>
      <c r="F925" t="n">
        <v>20</v>
      </c>
      <c r="G925" t="inlineStr">
        <is>
          <t>Greedy</t>
        </is>
      </c>
      <c r="H925" t="inlineStr">
        <is>
          <t>Part I</t>
        </is>
      </c>
      <c r="I925" t="inlineStr">
        <is>
          <t>Leetcode</t>
        </is>
      </c>
      <c r="J925" t="inlineStr">
        <is>
          <t>Problem</t>
        </is>
      </c>
    </row>
    <row r="926">
      <c r="A926" t="n">
        <v>400</v>
      </c>
      <c r="B926" t="inlineStr">
        <is>
          <t>Minimum Number of Operations to Convert Time</t>
        </is>
      </c>
      <c r="C926">
        <f>HYPERLINK("https://leetcode.com/problems/minimum-number-of-operations-to-convert-time/description/","minimum-number-of-operations-to-convert-time")</f>
        <v/>
      </c>
      <c r="D926" t="inlineStr">
        <is>
          <t>-</t>
        </is>
      </c>
      <c r="E926" t="inlineStr">
        <is>
          <t>Easy</t>
        </is>
      </c>
      <c r="F926" t="n">
        <v>20</v>
      </c>
      <c r="G926" t="inlineStr">
        <is>
          <t>Greedy</t>
        </is>
      </c>
      <c r="H926" t="inlineStr">
        <is>
          <t>Part I</t>
        </is>
      </c>
      <c r="I926" t="inlineStr">
        <is>
          <t>Leetcode</t>
        </is>
      </c>
      <c r="J926" t="inlineStr">
        <is>
          <t>Problem</t>
        </is>
      </c>
    </row>
    <row r="927">
      <c r="A927" t="n">
        <v>40</v>
      </c>
      <c r="B927" t="inlineStr">
        <is>
          <t>Assign Cookies</t>
        </is>
      </c>
      <c r="C927">
        <f>HYPERLINK("https://leetcode.com/problems/assign-cookies/","assign-cookies")</f>
        <v/>
      </c>
      <c r="D927" t="inlineStr">
        <is>
          <t>-</t>
        </is>
      </c>
      <c r="E927" t="inlineStr">
        <is>
          <t>Easy</t>
        </is>
      </c>
      <c r="F927" t="n">
        <v>20</v>
      </c>
      <c r="G927" t="inlineStr">
        <is>
          <t>Greedy</t>
        </is>
      </c>
      <c r="H927" t="inlineStr">
        <is>
          <t>Part I</t>
        </is>
      </c>
      <c r="I927" t="inlineStr">
        <is>
          <t>Leetcode</t>
        </is>
      </c>
      <c r="J927" t="inlineStr">
        <is>
          <t>Problem</t>
        </is>
      </c>
    </row>
    <row r="928">
      <c r="A928" t="n">
        <v>1062</v>
      </c>
      <c r="B928" t="inlineStr">
        <is>
          <t>Play with Chips</t>
        </is>
      </c>
      <c r="C928">
        <f>HYPERLINK("https://leetcode.com/problems/play-with-chips/","play-with-chips")</f>
        <v/>
      </c>
      <c r="D928" t="inlineStr">
        <is>
          <t>-</t>
        </is>
      </c>
      <c r="E928" t="inlineStr">
        <is>
          <t>Easy</t>
        </is>
      </c>
      <c r="F928" t="n">
        <v>20</v>
      </c>
      <c r="G928" t="inlineStr">
        <is>
          <t>Greedy</t>
        </is>
      </c>
      <c r="H928" t="inlineStr">
        <is>
          <t>Part I</t>
        </is>
      </c>
      <c r="I928" t="inlineStr">
        <is>
          <t>Leetcode</t>
        </is>
      </c>
      <c r="J928" t="inlineStr">
        <is>
          <t>Problem</t>
        </is>
      </c>
    </row>
    <row r="929">
      <c r="A929" t="n">
        <v>221</v>
      </c>
      <c r="B929" t="inlineStr">
        <is>
          <t>Jump Game</t>
        </is>
      </c>
      <c r="C929">
        <f>HYPERLINK("https://leetcode.com/problems/jump-game/","jump-game")</f>
        <v/>
      </c>
      <c r="D929" t="inlineStr">
        <is>
          <t>-</t>
        </is>
      </c>
      <c r="E929" t="inlineStr">
        <is>
          <t>Medium</t>
        </is>
      </c>
      <c r="F929" t="n">
        <v>20</v>
      </c>
      <c r="G929" t="inlineStr">
        <is>
          <t>Greedy</t>
        </is>
      </c>
      <c r="H929" t="inlineStr">
        <is>
          <t>Part I</t>
        </is>
      </c>
      <c r="I929" t="inlineStr">
        <is>
          <t>Leetcode</t>
        </is>
      </c>
      <c r="J929" t="inlineStr">
        <is>
          <t>Problem</t>
        </is>
      </c>
    </row>
    <row r="930">
      <c r="A930" t="n">
        <v>222</v>
      </c>
      <c r="B930" t="inlineStr">
        <is>
          <t>Jump Game II</t>
        </is>
      </c>
      <c r="C930">
        <f>HYPERLINK("https://leetcode.com/problems/jump-game-ii/","jump-game-ii")</f>
        <v/>
      </c>
      <c r="D930" t="inlineStr">
        <is>
          <t>-</t>
        </is>
      </c>
      <c r="E930" t="inlineStr">
        <is>
          <t>Medium</t>
        </is>
      </c>
      <c r="F930" t="n">
        <v>20</v>
      </c>
      <c r="G930" t="inlineStr">
        <is>
          <t>Greedy</t>
        </is>
      </c>
      <c r="H930" t="inlineStr">
        <is>
          <t>Part I</t>
        </is>
      </c>
      <c r="I930" t="inlineStr">
        <is>
          <t>Leetcode</t>
        </is>
      </c>
      <c r="J930" t="inlineStr">
        <is>
          <t>Problem</t>
        </is>
      </c>
    </row>
    <row r="931">
      <c r="A931" t="n">
        <v>778</v>
      </c>
      <c r="B931" t="inlineStr">
        <is>
          <t>Wiggle Subsequence</t>
        </is>
      </c>
      <c r="C931">
        <f>HYPERLINK("https://leetcode.com/problems/wiggle-subsequence/","wiggle-subsequence")</f>
        <v/>
      </c>
      <c r="D931" t="inlineStr">
        <is>
          <t>-</t>
        </is>
      </c>
      <c r="E931" t="inlineStr">
        <is>
          <t>Medium</t>
        </is>
      </c>
      <c r="F931" t="n">
        <v>20</v>
      </c>
      <c r="G931" t="inlineStr">
        <is>
          <t>Greedy</t>
        </is>
      </c>
      <c r="H931" t="inlineStr">
        <is>
          <t>Part I</t>
        </is>
      </c>
      <c r="I931" t="inlineStr">
        <is>
          <t>Leetcode</t>
        </is>
      </c>
      <c r="J931" t="inlineStr">
        <is>
          <t>Problem</t>
        </is>
      </c>
    </row>
    <row r="932">
      <c r="A932" t="n">
        <v>78</v>
      </c>
      <c r="B932" t="inlineStr">
        <is>
          <t>Cinema Seat Allocation</t>
        </is>
      </c>
      <c r="C932">
        <f>HYPERLINK("https://leetcode.com/problems/cinema-seat-allocation/","cinema-seat-allocation")</f>
        <v/>
      </c>
      <c r="D932" t="inlineStr">
        <is>
          <t>-</t>
        </is>
      </c>
      <c r="E932" t="inlineStr">
        <is>
          <t>Medium</t>
        </is>
      </c>
      <c r="F932" t="n">
        <v>20</v>
      </c>
      <c r="G932" t="inlineStr">
        <is>
          <t>Greedy</t>
        </is>
      </c>
      <c r="H932" t="inlineStr">
        <is>
          <t>Part I</t>
        </is>
      </c>
      <c r="I932" t="inlineStr">
        <is>
          <t>Leetcode</t>
        </is>
      </c>
      <c r="J932" t="inlineStr">
        <is>
          <t>Problem</t>
        </is>
      </c>
    </row>
    <row r="933">
      <c r="A933" t="n">
        <v>29</v>
      </c>
      <c r="B933" t="inlineStr">
        <is>
          <t>Advantage Shuffle</t>
        </is>
      </c>
      <c r="C933">
        <f>HYPERLINK("https://leetcode.com/problems/advantage-shuffle/","advantage-shuffle")</f>
        <v/>
      </c>
      <c r="D933" t="inlineStr">
        <is>
          <t>-</t>
        </is>
      </c>
      <c r="E933" t="inlineStr">
        <is>
          <t>Medium</t>
        </is>
      </c>
      <c r="F933" t="n">
        <v>20</v>
      </c>
      <c r="G933" t="inlineStr">
        <is>
          <t>Greedy</t>
        </is>
      </c>
      <c r="H933" t="inlineStr">
        <is>
          <t>Part I</t>
        </is>
      </c>
      <c r="I933" t="inlineStr">
        <is>
          <t>Leetcode</t>
        </is>
      </c>
      <c r="J933" t="inlineStr">
        <is>
          <t>Problem</t>
        </is>
      </c>
    </row>
    <row r="934">
      <c r="A934" t="n">
        <v>414</v>
      </c>
      <c r="B934" t="inlineStr">
        <is>
          <t>Minimum Score by Changing Two Elements</t>
        </is>
      </c>
      <c r="C934">
        <f>HYPERLINK("https://leetcode.com/problems/minimum-score-by-changing-two-elements/","minimum-score-by-changing-two-elements")</f>
        <v/>
      </c>
      <c r="D934" t="inlineStr">
        <is>
          <t>-</t>
        </is>
      </c>
      <c r="E934" t="inlineStr">
        <is>
          <t>Medium</t>
        </is>
      </c>
      <c r="F934" t="n">
        <v>20</v>
      </c>
      <c r="G934" t="inlineStr">
        <is>
          <t>Greedy</t>
        </is>
      </c>
      <c r="H934" t="inlineStr">
        <is>
          <t>Part I</t>
        </is>
      </c>
      <c r="I934" t="inlineStr">
        <is>
          <t>Leetcode</t>
        </is>
      </c>
      <c r="J934" t="inlineStr">
        <is>
          <t>Problem</t>
        </is>
      </c>
    </row>
    <row r="935">
      <c r="A935" t="n">
        <v>407</v>
      </c>
      <c r="B935" t="inlineStr">
        <is>
          <t>Minimum Operations to Make Array Equal II</t>
        </is>
      </c>
      <c r="C935">
        <f>HYPERLINK("https://leetcode.com/problems/minimum-operations-to-make-array-equal-ii/","minimum-operations-to-make-array-equal-ii")</f>
        <v/>
      </c>
      <c r="D935" t="inlineStr">
        <is>
          <t>-</t>
        </is>
      </c>
      <c r="E935" t="inlineStr">
        <is>
          <t>Medium</t>
        </is>
      </c>
      <c r="F935" t="n">
        <v>20</v>
      </c>
      <c r="G935" t="inlineStr">
        <is>
          <t>Greedy</t>
        </is>
      </c>
      <c r="H935" t="inlineStr">
        <is>
          <t>Part I</t>
        </is>
      </c>
      <c r="I935" t="inlineStr">
        <is>
          <t>Leetcode</t>
        </is>
      </c>
      <c r="J935" t="inlineStr">
        <is>
          <t>Problem</t>
        </is>
      </c>
    </row>
    <row r="936">
      <c r="A936" t="n">
        <v>359</v>
      </c>
      <c r="B936" t="inlineStr">
        <is>
          <t>Mice and Cheese</t>
        </is>
      </c>
      <c r="C936">
        <f>HYPERLINK("https://leetcode.com/problems/mice-and-cheese/","mice-and-cheese")</f>
        <v/>
      </c>
      <c r="D936" t="inlineStr">
        <is>
          <t>-</t>
        </is>
      </c>
      <c r="E936" t="inlineStr">
        <is>
          <t>Medium</t>
        </is>
      </c>
      <c r="F936" t="n">
        <v>20</v>
      </c>
      <c r="G936" t="inlineStr">
        <is>
          <t>Greedy</t>
        </is>
      </c>
      <c r="H936" t="inlineStr">
        <is>
          <t>Part I</t>
        </is>
      </c>
      <c r="I936" t="inlineStr">
        <is>
          <t>Leetcode</t>
        </is>
      </c>
      <c r="J936" t="inlineStr">
        <is>
          <t>Problem</t>
        </is>
      </c>
    </row>
    <row r="937">
      <c r="A937" t="n">
        <v>416</v>
      </c>
      <c r="B937" t="inlineStr">
        <is>
          <t>Minimum Seconds to Equalize a Circular Array</t>
        </is>
      </c>
      <c r="C937">
        <f>HYPERLINK("https://leetcode.com/problems/minimum-seconds-to-equalize-a-circular-array","minimum-seconds-to-equalize-a-circular-array")</f>
        <v/>
      </c>
      <c r="D937" t="inlineStr">
        <is>
          <t>-</t>
        </is>
      </c>
      <c r="E937" t="inlineStr">
        <is>
          <t>Medium</t>
        </is>
      </c>
      <c r="F937" t="n">
        <v>20</v>
      </c>
      <c r="G937" t="inlineStr">
        <is>
          <t>Greedy</t>
        </is>
      </c>
      <c r="H937" t="inlineStr">
        <is>
          <t>Part I</t>
        </is>
      </c>
      <c r="I937" t="inlineStr">
        <is>
          <t>Leetcode</t>
        </is>
      </c>
      <c r="J937" t="inlineStr">
        <is>
          <t>Problem</t>
        </is>
      </c>
    </row>
    <row r="938">
      <c r="A938" t="n">
        <v>313</v>
      </c>
      <c r="B938" t="inlineStr">
        <is>
          <t>Maximum Bags with Full Capacity of Rocks</t>
        </is>
      </c>
      <c r="C938">
        <f>HYPERLINK("https://leetcode.com/problems/maximum-bags-with-full-capacity-of-rocks/","maximum-bags-with-full-capacity-of-rocks")</f>
        <v/>
      </c>
      <c r="D938" t="inlineStr">
        <is>
          <t>-</t>
        </is>
      </c>
      <c r="E938" t="inlineStr">
        <is>
          <t>Medium</t>
        </is>
      </c>
      <c r="F938" t="n">
        <v>20</v>
      </c>
      <c r="G938" t="inlineStr">
        <is>
          <t>Greedy</t>
        </is>
      </c>
      <c r="H938" t="inlineStr">
        <is>
          <t>Part I</t>
        </is>
      </c>
      <c r="I938" t="inlineStr">
        <is>
          <t>Leetcode</t>
        </is>
      </c>
      <c r="J938" t="inlineStr">
        <is>
          <t>Problem</t>
        </is>
      </c>
    </row>
    <row r="939">
      <c r="A939" t="n">
        <v>363</v>
      </c>
      <c r="B939" t="inlineStr">
        <is>
          <t>Minimize Maximum of Array</t>
        </is>
      </c>
      <c r="C939">
        <f>HYPERLINK("https://leetcode.com/problems/minimize-maximum-of-array/","minimize-maximum-of-array")</f>
        <v/>
      </c>
      <c r="D939" t="inlineStr">
        <is>
          <t>-</t>
        </is>
      </c>
      <c r="E939" t="inlineStr">
        <is>
          <t>Medium</t>
        </is>
      </c>
      <c r="F939" t="n">
        <v>20</v>
      </c>
      <c r="G939" t="inlineStr">
        <is>
          <t>Greedy</t>
        </is>
      </c>
      <c r="H939" t="inlineStr">
        <is>
          <t>Part I</t>
        </is>
      </c>
      <c r="I939" t="inlineStr">
        <is>
          <t>Leetcode</t>
        </is>
      </c>
      <c r="J939" t="inlineStr">
        <is>
          <t>Problem</t>
        </is>
      </c>
    </row>
    <row r="940">
      <c r="A940" t="n">
        <v>1491</v>
      </c>
      <c r="B940" t="inlineStr">
        <is>
          <t>Minimum Platforms</t>
        </is>
      </c>
      <c r="C940">
        <f>HYPERLINK("https://www.geeksforgeeks.org/problems/minimum-platforms-1587115620/1","Solve Problem")</f>
        <v/>
      </c>
      <c r="D940" t="inlineStr">
        <is>
          <t>-</t>
        </is>
      </c>
      <c r="E940" t="inlineStr">
        <is>
          <t>Medium</t>
        </is>
      </c>
      <c r="F940" t="n">
        <v>20</v>
      </c>
      <c r="G940" t="inlineStr">
        <is>
          <t>Greedy</t>
        </is>
      </c>
      <c r="H940" t="inlineStr">
        <is>
          <t>Part I</t>
        </is>
      </c>
      <c r="I940" t="inlineStr">
        <is>
          <t>Geeksforgeeks</t>
        </is>
      </c>
      <c r="J940" t="inlineStr">
        <is>
          <t>Problem</t>
        </is>
      </c>
    </row>
    <row r="941">
      <c r="A941" t="n">
        <v>1479</v>
      </c>
      <c r="B941" t="inlineStr">
        <is>
          <t>Fractional Knapsack</t>
        </is>
      </c>
      <c r="C941">
        <f>HYPERLINK("https://www.geeksforgeeks.org/problems/fractional-knapsack-1587115620/1","Solve Problem")</f>
        <v/>
      </c>
      <c r="D941" t="inlineStr">
        <is>
          <t>-</t>
        </is>
      </c>
      <c r="E941" t="inlineStr">
        <is>
          <t>Medium</t>
        </is>
      </c>
      <c r="F941" t="n">
        <v>20</v>
      </c>
      <c r="G941" t="inlineStr">
        <is>
          <t>Greedy</t>
        </is>
      </c>
      <c r="H941" t="inlineStr">
        <is>
          <t>Part I</t>
        </is>
      </c>
      <c r="I941" t="inlineStr">
        <is>
          <t>Geeksforgeeks</t>
        </is>
      </c>
      <c r="J941" t="inlineStr">
        <is>
          <t>Problem</t>
        </is>
      </c>
    </row>
    <row r="942">
      <c r="A942" t="n">
        <v>1452</v>
      </c>
      <c r="B942" t="inlineStr">
        <is>
          <t>Activity Selection</t>
        </is>
      </c>
      <c r="C942">
        <f>HYPERLINK("https://www.geeksforgeeks.org/problems/activity-selection-1587115620/1","Solve Problem")</f>
        <v/>
      </c>
      <c r="D942" t="inlineStr">
        <is>
          <t>-</t>
        </is>
      </c>
      <c r="E942" t="inlineStr">
        <is>
          <t>Medium</t>
        </is>
      </c>
      <c r="F942" t="n">
        <v>20</v>
      </c>
      <c r="G942" t="inlineStr">
        <is>
          <t>Greedy</t>
        </is>
      </c>
      <c r="H942" t="inlineStr">
        <is>
          <t>Part I</t>
        </is>
      </c>
      <c r="I942" t="inlineStr">
        <is>
          <t>Geeksforgeeks</t>
        </is>
      </c>
      <c r="J942" t="inlineStr">
        <is>
          <t>Problem</t>
        </is>
      </c>
    </row>
    <row r="943">
      <c r="A943" t="n">
        <v>1489</v>
      </c>
      <c r="B943" t="inlineStr">
        <is>
          <t>Job Sequencing Problem</t>
        </is>
      </c>
      <c r="C943">
        <f>HYPERLINK("https://www.geeksforgeeks.org/problems/job-sequencing-problem-1587115620/1","Solve Problem")</f>
        <v/>
      </c>
      <c r="D943" t="inlineStr">
        <is>
          <t>-</t>
        </is>
      </c>
      <c r="E943" t="inlineStr">
        <is>
          <t>Medium</t>
        </is>
      </c>
      <c r="F943" t="n">
        <v>20</v>
      </c>
      <c r="G943" t="inlineStr">
        <is>
          <t>Greedy</t>
        </is>
      </c>
      <c r="H943" t="inlineStr">
        <is>
          <t>Part I</t>
        </is>
      </c>
      <c r="I943" t="inlineStr">
        <is>
          <t>Geeksforgeeks</t>
        </is>
      </c>
      <c r="J943" t="inlineStr">
        <is>
          <t>Problem</t>
        </is>
      </c>
    </row>
    <row r="944">
      <c r="A944" t="n">
        <v>551</v>
      </c>
      <c r="B944" t="inlineStr">
        <is>
          <t>Non-Overlapping Intervals</t>
        </is>
      </c>
      <c r="C944">
        <f>HYPERLINK("https://leetcode.com/problems/non-overlapping-intervals/description/","non-overlapping-intervals")</f>
        <v/>
      </c>
      <c r="D944" t="inlineStr">
        <is>
          <t>-</t>
        </is>
      </c>
      <c r="E944" t="inlineStr">
        <is>
          <t>Medium</t>
        </is>
      </c>
      <c r="F944" t="n">
        <v>20</v>
      </c>
      <c r="G944" t="inlineStr">
        <is>
          <t>Greedy</t>
        </is>
      </c>
      <c r="H944" t="inlineStr">
        <is>
          <t>Part I</t>
        </is>
      </c>
      <c r="I944" t="inlineStr">
        <is>
          <t>Leetcode</t>
        </is>
      </c>
      <c r="J944" t="inlineStr">
        <is>
          <t>Problem</t>
        </is>
      </c>
    </row>
    <row r="945">
      <c r="A945" t="n">
        <v>457</v>
      </c>
      <c r="B945" t="inlineStr">
        <is>
          <t>Divide Intervals into Minimum Number of Groups</t>
        </is>
      </c>
      <c r="C945">
        <f>HYPERLINK("https://leetcode.com/problems/divide-intervals-into-minimum-number-of-groups/description/","divide-intervals-into-minimum-number-of-groups")</f>
        <v/>
      </c>
      <c r="D945" t="inlineStr">
        <is>
          <t>-</t>
        </is>
      </c>
      <c r="E945" t="inlineStr">
        <is>
          <t>Medium</t>
        </is>
      </c>
      <c r="F945" t="n">
        <v>20</v>
      </c>
      <c r="G945" t="inlineStr">
        <is>
          <t>Greedy</t>
        </is>
      </c>
      <c r="H945" t="inlineStr">
        <is>
          <t>Part I</t>
        </is>
      </c>
      <c r="I945" t="inlineStr">
        <is>
          <t>Leetcode</t>
        </is>
      </c>
      <c r="J945" t="inlineStr">
        <is>
          <t>Problem</t>
        </is>
      </c>
    </row>
    <row r="946">
      <c r="A946" t="n">
        <v>739</v>
      </c>
      <c r="B946" t="inlineStr">
        <is>
          <t>Task Scheduler</t>
        </is>
      </c>
      <c r="C946">
        <f>HYPERLINK("https://leetcode.com/problems/task-scheduler/","task-scheduler")</f>
        <v/>
      </c>
      <c r="D946" t="inlineStr">
        <is>
          <t>-</t>
        </is>
      </c>
      <c r="E946" t="inlineStr">
        <is>
          <t>Medium</t>
        </is>
      </c>
      <c r="F946" t="n">
        <v>20</v>
      </c>
      <c r="G946" t="inlineStr">
        <is>
          <t>Greedy</t>
        </is>
      </c>
      <c r="H946" t="inlineStr">
        <is>
          <t>Part I</t>
        </is>
      </c>
      <c r="I946" t="inlineStr">
        <is>
          <t>Leetcode</t>
        </is>
      </c>
      <c r="J946" t="inlineStr">
        <is>
          <t>Problem</t>
        </is>
      </c>
    </row>
    <row r="947">
      <c r="A947" t="n">
        <v>402</v>
      </c>
      <c r="B947" t="inlineStr">
        <is>
          <t>Minimum Number of Operations to Make Arrays Similar</t>
        </is>
      </c>
      <c r="C947">
        <f>HYPERLINK("https://leetcode.com/problems/minimum-number-of-operations-to-make-arrays-similar/description/","minimum-number-of-operations-to-make-arrays-similar")</f>
        <v/>
      </c>
      <c r="D947" t="inlineStr">
        <is>
          <t>-</t>
        </is>
      </c>
      <c r="E947" t="inlineStr">
        <is>
          <t>Hard</t>
        </is>
      </c>
      <c r="F947" t="n">
        <v>20</v>
      </c>
      <c r="G947" t="inlineStr">
        <is>
          <t>Greedy</t>
        </is>
      </c>
      <c r="H947" t="inlineStr">
        <is>
          <t>Part I</t>
        </is>
      </c>
      <c r="I947" t="inlineStr">
        <is>
          <t>Leetcode</t>
        </is>
      </c>
      <c r="J947" t="inlineStr">
        <is>
          <t>Problem</t>
        </is>
      </c>
    </row>
    <row r="948">
      <c r="A948" t="n">
        <v>376</v>
      </c>
      <c r="B948" t="inlineStr">
        <is>
          <t>Minimum Cost for Cutting Cake II</t>
        </is>
      </c>
      <c r="C948">
        <f>HYPERLINK("https://leetcode.com/problems/minimum-cost-for-cutting-cake-ii/description/","minimum-cost-for-cutting-cake-ii")</f>
        <v/>
      </c>
      <c r="D948" t="inlineStr">
        <is>
          <t>-</t>
        </is>
      </c>
      <c r="E948" t="inlineStr">
        <is>
          <t>Hard</t>
        </is>
      </c>
      <c r="F948" t="n">
        <v>20</v>
      </c>
      <c r="G948" t="inlineStr">
        <is>
          <t>Greedy</t>
        </is>
      </c>
      <c r="H948" t="inlineStr">
        <is>
          <t>Part I</t>
        </is>
      </c>
      <c r="I948" t="inlineStr">
        <is>
          <t>Leetcode</t>
        </is>
      </c>
      <c r="J948" t="inlineStr">
        <is>
          <t>Problem</t>
        </is>
      </c>
    </row>
    <row r="949">
      <c r="A949" t="n">
        <v>588</v>
      </c>
      <c r="B949" t="inlineStr">
        <is>
          <t>Patching Array</t>
        </is>
      </c>
      <c r="C949">
        <f>HYPERLINK("https://leetcode.com/problems/patching-array/description/","patching-array")</f>
        <v/>
      </c>
      <c r="D949" t="inlineStr">
        <is>
          <t>-</t>
        </is>
      </c>
      <c r="E949" t="inlineStr">
        <is>
          <t>Hard</t>
        </is>
      </c>
      <c r="F949" t="n">
        <v>20</v>
      </c>
      <c r="G949" t="inlineStr">
        <is>
          <t>Greedy</t>
        </is>
      </c>
      <c r="H949" t="inlineStr">
        <is>
          <t>Part I</t>
        </is>
      </c>
      <c r="I949" t="inlineStr">
        <is>
          <t>Leetcode</t>
        </is>
      </c>
      <c r="J949" t="inlineStr">
        <is>
          <t>Problem</t>
        </is>
      </c>
    </row>
    <row r="950">
      <c r="A950" t="n">
        <v>656</v>
      </c>
      <c r="B950" t="inlineStr">
        <is>
          <t>Reverse Subarray to Maximize Array Value</t>
        </is>
      </c>
      <c r="C950">
        <f>HYPERLINK("https://leetcode.com/problems/reverse-subarray-to-maximize-array-value/description/","reverse-subarray-to-maximize-array-value")</f>
        <v/>
      </c>
      <c r="D950" t="inlineStr">
        <is>
          <t>-</t>
        </is>
      </c>
      <c r="E950" t="inlineStr">
        <is>
          <t>Hard</t>
        </is>
      </c>
      <c r="F950" t="n">
        <v>20</v>
      </c>
      <c r="G950" t="inlineStr">
        <is>
          <t>Greedy</t>
        </is>
      </c>
      <c r="H950" t="inlineStr">
        <is>
          <t>Part I</t>
        </is>
      </c>
      <c r="I950" t="inlineStr">
        <is>
          <t>Leetcode</t>
        </is>
      </c>
      <c r="J950" t="inlineStr">
        <is>
          <t>Problem</t>
        </is>
      </c>
    </row>
    <row r="951">
      <c r="A951" t="n">
        <v>737</v>
      </c>
      <c r="B951" t="inlineStr">
        <is>
          <t>Super Washing Machines</t>
        </is>
      </c>
      <c r="C951">
        <f>HYPERLINK("https://leetcode.com/problems/super-washing-machines/description/","super-washing-machines")</f>
        <v/>
      </c>
      <c r="D951" t="inlineStr">
        <is>
          <t>-</t>
        </is>
      </c>
      <c r="E951" t="inlineStr">
        <is>
          <t>Hard</t>
        </is>
      </c>
      <c r="F951" t="n">
        <v>20</v>
      </c>
      <c r="G951" t="inlineStr">
        <is>
          <t>Greedy</t>
        </is>
      </c>
      <c r="H951" t="inlineStr">
        <is>
          <t>Part I</t>
        </is>
      </c>
      <c r="I951" t="inlineStr">
        <is>
          <t>Leetcode</t>
        </is>
      </c>
      <c r="J951" t="inlineStr">
        <is>
          <t>Problem</t>
        </is>
      </c>
    </row>
    <row r="952">
      <c r="A952" t="n">
        <v>379</v>
      </c>
      <c r="B952" t="inlineStr">
        <is>
          <t>Minimum Cost to Equalize Array</t>
        </is>
      </c>
      <c r="C952">
        <f>HYPERLINK("https://leetcode.com/problems/minimum-cost-to-equalize-array/description/","minimum-cost-to-equalize-array")</f>
        <v/>
      </c>
      <c r="D952" t="inlineStr">
        <is>
          <t>-</t>
        </is>
      </c>
      <c r="E952" t="inlineStr">
        <is>
          <t>Hard</t>
        </is>
      </c>
      <c r="F952" t="n">
        <v>20</v>
      </c>
      <c r="G952" t="inlineStr">
        <is>
          <t>Greedy</t>
        </is>
      </c>
      <c r="H952" t="inlineStr">
        <is>
          <t>Part I</t>
        </is>
      </c>
      <c r="I952" t="inlineStr">
        <is>
          <t>Leetcode</t>
        </is>
      </c>
      <c r="J952" t="inlineStr">
        <is>
          <t>Problem</t>
        </is>
      </c>
    </row>
    <row r="953">
      <c r="A953" t="n">
        <v>582</v>
      </c>
      <c r="B953" t="inlineStr">
        <is>
          <t>Optimal Partition of String</t>
        </is>
      </c>
      <c r="C953">
        <f>HYPERLINK("https://leetcode.com/problems/optimal-partition-of-string","optimal-partition-of-string")</f>
        <v/>
      </c>
      <c r="D953" t="inlineStr">
        <is>
          <t>-</t>
        </is>
      </c>
      <c r="E953" t="inlineStr">
        <is>
          <t>Medium</t>
        </is>
      </c>
      <c r="F953" t="n">
        <v>20</v>
      </c>
      <c r="G953" t="inlineStr">
        <is>
          <t>Greedy</t>
        </is>
      </c>
      <c r="H953" t="inlineStr">
        <is>
          <t>Part I</t>
        </is>
      </c>
      <c r="I953" t="inlineStr">
        <is>
          <t>Leetcode</t>
        </is>
      </c>
      <c r="J953" t="inlineStr">
        <is>
          <t>Problem</t>
        </is>
      </c>
    </row>
    <row r="954">
      <c r="A954" t="n">
        <v>527</v>
      </c>
      <c r="B954" t="inlineStr">
        <is>
          <t>Minimum Swaps to Make Strings Equal</t>
        </is>
      </c>
      <c r="C954">
        <f>HYPERLINK("https://leetcode.com/problems/minimum-swaps-to-make-strings-equal/","minimum-swaps-to-make-strings-equal")</f>
        <v/>
      </c>
      <c r="D954" t="inlineStr">
        <is>
          <t>-</t>
        </is>
      </c>
      <c r="E954" t="inlineStr">
        <is>
          <t>Medium</t>
        </is>
      </c>
      <c r="F954" t="n">
        <v>20</v>
      </c>
      <c r="G954" t="inlineStr">
        <is>
          <t>Greedy</t>
        </is>
      </c>
      <c r="H954" t="inlineStr">
        <is>
          <t>Part I</t>
        </is>
      </c>
      <c r="I954" t="inlineStr">
        <is>
          <t>Leetcode</t>
        </is>
      </c>
      <c r="J954" t="inlineStr">
        <is>
          <t>Problem</t>
        </is>
      </c>
    </row>
    <row r="955">
      <c r="A955" t="n">
        <v>330</v>
      </c>
      <c r="B955" t="inlineStr">
        <is>
          <t>Maximum Number of Non-Overlapping Substrings</t>
        </is>
      </c>
      <c r="C955">
        <f>HYPERLINK("https://leetcode.com/problems/maximum-number-of-non-overlapping-substrings/description/","maximum-number-of-non-overlapping-substrings")</f>
        <v/>
      </c>
      <c r="D955" t="inlineStr">
        <is>
          <t>-</t>
        </is>
      </c>
      <c r="E955" t="inlineStr">
        <is>
          <t>Hard</t>
        </is>
      </c>
      <c r="F955" t="n">
        <v>20</v>
      </c>
      <c r="G955" t="inlineStr">
        <is>
          <t>Greedy</t>
        </is>
      </c>
      <c r="H955" t="inlineStr">
        <is>
          <t>Part I</t>
        </is>
      </c>
      <c r="I955" t="inlineStr">
        <is>
          <t>Leetcode</t>
        </is>
      </c>
      <c r="J955" t="inlineStr">
        <is>
          <t>Problem</t>
        </is>
      </c>
    </row>
    <row r="956">
      <c r="A956" t="n">
        <v>250</v>
      </c>
      <c r="B956" t="inlineStr">
        <is>
          <t>Lexicographically Smallest Beautiful String</t>
        </is>
      </c>
      <c r="C956">
        <f>HYPERLINK("https://leetcode.com/problems/lexicographically-smallest-beautiful-string/description/","lexicographically-smallest-beautiful-string")</f>
        <v/>
      </c>
      <c r="D956" t="inlineStr">
        <is>
          <t>-</t>
        </is>
      </c>
      <c r="E956" t="inlineStr">
        <is>
          <t>Hard</t>
        </is>
      </c>
      <c r="F956" t="n">
        <v>20</v>
      </c>
      <c r="G956" t="inlineStr">
        <is>
          <t>Greedy</t>
        </is>
      </c>
      <c r="H956" t="inlineStr">
        <is>
          <t>Part I</t>
        </is>
      </c>
      <c r="I956" t="inlineStr">
        <is>
          <t>Leetcode</t>
        </is>
      </c>
      <c r="J956" t="inlineStr">
        <is>
          <t>Problem</t>
        </is>
      </c>
    </row>
    <row r="957">
      <c r="A957" t="n">
        <v>105</v>
      </c>
      <c r="B957" t="inlineStr">
        <is>
          <t>Count K-Subsequences of a String with Maximum Beauty</t>
        </is>
      </c>
      <c r="C957">
        <f>HYPERLINK("https://leetcode.com/problems/count-k-subsequences-of-a-string-with-maximum-beauty/description/","count-k-subsequences-of-a-string-with-maximum-beauty")</f>
        <v/>
      </c>
      <c r="D957" t="inlineStr">
        <is>
          <t>-</t>
        </is>
      </c>
      <c r="E957" t="inlineStr">
        <is>
          <t>Hard</t>
        </is>
      </c>
      <c r="F957" t="n">
        <v>20</v>
      </c>
      <c r="G957" t="inlineStr">
        <is>
          <t>Greedy</t>
        </is>
      </c>
      <c r="H957" t="inlineStr">
        <is>
          <t>Part I</t>
        </is>
      </c>
      <c r="I957" t="inlineStr">
        <is>
          <t>Leetcode</t>
        </is>
      </c>
      <c r="J957" t="inlineStr">
        <is>
          <t>Problem</t>
        </is>
      </c>
    </row>
    <row r="958">
      <c r="A958" t="n">
        <v>41</v>
      </c>
      <c r="B958" t="inlineStr">
        <is>
          <t>Bag of Tokens</t>
        </is>
      </c>
      <c r="C958">
        <f>HYPERLINK("https://leetcode.com/problems/bag-of-tokens/","bag-of-tokens")</f>
        <v/>
      </c>
      <c r="D958" t="inlineStr">
        <is>
          <t>-</t>
        </is>
      </c>
      <c r="E958" t="inlineStr">
        <is>
          <t>Medium</t>
        </is>
      </c>
      <c r="F958" t="n">
        <v>20</v>
      </c>
      <c r="G958" t="inlineStr">
        <is>
          <t>Greedy</t>
        </is>
      </c>
      <c r="H958" t="inlineStr">
        <is>
          <t>Part I</t>
        </is>
      </c>
      <c r="I958" t="inlineStr">
        <is>
          <t>Leetcode</t>
        </is>
      </c>
      <c r="J958" t="inlineStr">
        <is>
          <t>Problem</t>
        </is>
      </c>
    </row>
    <row r="959">
      <c r="A959" t="n">
        <v>61</v>
      </c>
      <c r="B959" t="inlineStr">
        <is>
          <t>Boats to Save People</t>
        </is>
      </c>
      <c r="C959">
        <f>HYPERLINK("https://leetcode.com/problems/boats-to-save-people/","boats-to-save-people")</f>
        <v/>
      </c>
      <c r="D959" t="inlineStr">
        <is>
          <t>-</t>
        </is>
      </c>
      <c r="E959" t="inlineStr">
        <is>
          <t>Medium</t>
        </is>
      </c>
      <c r="F959" t="n">
        <v>20</v>
      </c>
      <c r="G959" t="inlineStr">
        <is>
          <t>Greedy</t>
        </is>
      </c>
      <c r="H959" t="inlineStr">
        <is>
          <t>Part I</t>
        </is>
      </c>
      <c r="I959" t="inlineStr">
        <is>
          <t>Leetcode</t>
        </is>
      </c>
      <c r="J959" t="inlineStr">
        <is>
          <t>Problem</t>
        </is>
      </c>
    </row>
    <row r="960">
      <c r="A960" t="n">
        <v>322</v>
      </c>
      <c r="B960" t="inlineStr">
        <is>
          <t>Maximum Matching of Players with Trainers</t>
        </is>
      </c>
      <c r="C960">
        <f>HYPERLINK("https://leetcode.com/problems/maximum-matching-of-players-with-trainers/","maximum-matching-of-players-with-trainers")</f>
        <v/>
      </c>
      <c r="D960" t="inlineStr">
        <is>
          <t>-</t>
        </is>
      </c>
      <c r="E960" t="inlineStr">
        <is>
          <t>Medium</t>
        </is>
      </c>
      <c r="F960" t="n">
        <v>20</v>
      </c>
      <c r="G960" t="inlineStr">
        <is>
          <t>Greedy</t>
        </is>
      </c>
      <c r="H960" t="inlineStr">
        <is>
          <t>Part I</t>
        </is>
      </c>
      <c r="I960" t="inlineStr">
        <is>
          <t>Leetcode</t>
        </is>
      </c>
      <c r="J960" t="inlineStr">
        <is>
          <t>Problem</t>
        </is>
      </c>
    </row>
    <row r="961">
      <c r="A961" t="n">
        <v>68</v>
      </c>
      <c r="B961" t="inlineStr">
        <is>
          <t>Candy</t>
        </is>
      </c>
      <c r="C961">
        <f>HYPERLINK("https://leetcode.com/problems/candy/","candy")</f>
        <v/>
      </c>
      <c r="D961" t="inlineStr">
        <is>
          <t>-</t>
        </is>
      </c>
      <c r="E961" t="inlineStr">
        <is>
          <t>Hard</t>
        </is>
      </c>
      <c r="F961" t="n">
        <v>20</v>
      </c>
      <c r="G961" t="inlineStr">
        <is>
          <t>Greedy</t>
        </is>
      </c>
      <c r="H961" t="inlineStr">
        <is>
          <t>Part I</t>
        </is>
      </c>
      <c r="I961" t="inlineStr">
        <is>
          <t>Leetcode</t>
        </is>
      </c>
      <c r="J961" t="inlineStr">
        <is>
          <t>Problem</t>
        </is>
      </c>
    </row>
    <row r="962">
      <c r="A962" t="n">
        <v>245</v>
      </c>
      <c r="B962" t="inlineStr">
        <is>
          <t>Lemonade Change</t>
        </is>
      </c>
      <c r="C962">
        <f>HYPERLINK("https://leetcode.com/problems/lemonade-change/","lemonade-change")</f>
        <v/>
      </c>
      <c r="D962" t="inlineStr">
        <is>
          <t>-</t>
        </is>
      </c>
      <c r="E962" t="inlineStr">
        <is>
          <t>Easy</t>
        </is>
      </c>
      <c r="F962" t="n">
        <v>20</v>
      </c>
      <c r="G962" t="inlineStr">
        <is>
          <t>Greedy</t>
        </is>
      </c>
      <c r="H962" t="inlineStr">
        <is>
          <t>Part II</t>
        </is>
      </c>
      <c r="I962" t="inlineStr">
        <is>
          <t>Leetcode</t>
        </is>
      </c>
      <c r="J962" t="inlineStr">
        <is>
          <t>Problem</t>
        </is>
      </c>
    </row>
    <row r="963">
      <c r="A963" t="n">
        <v>205</v>
      </c>
      <c r="B963" t="inlineStr">
        <is>
          <t>Gas Station</t>
        </is>
      </c>
      <c r="C963">
        <f>HYPERLINK("https://leetcode.com/problems/gas-station/","gas-station")</f>
        <v/>
      </c>
      <c r="D963" t="inlineStr">
        <is>
          <t>-</t>
        </is>
      </c>
      <c r="E963" t="inlineStr">
        <is>
          <t>Medium</t>
        </is>
      </c>
      <c r="F963" t="n">
        <v>20</v>
      </c>
      <c r="G963" t="inlineStr">
        <is>
          <t>Greedy</t>
        </is>
      </c>
      <c r="H963" t="inlineStr">
        <is>
          <t>Part II</t>
        </is>
      </c>
      <c r="I963" t="inlineStr">
        <is>
          <t>Leetcode</t>
        </is>
      </c>
      <c r="J963" t="inlineStr">
        <is>
          <t>Problem</t>
        </is>
      </c>
    </row>
    <row r="964">
      <c r="A964" t="n">
        <v>207</v>
      </c>
      <c r="B964" t="inlineStr">
        <is>
          <t>Group the People Given the Group Size They Belong To</t>
        </is>
      </c>
      <c r="C964">
        <f>HYPERLINK("https://leetcode.com/problems/group-the-people-given-the-group-size-they-belong-to","group-the-people-given-the-group-size-they-belong-to")</f>
        <v/>
      </c>
      <c r="D964" t="inlineStr">
        <is>
          <t>-</t>
        </is>
      </c>
      <c r="E964" t="inlineStr">
        <is>
          <t>Medium</t>
        </is>
      </c>
      <c r="F964" t="n">
        <v>20</v>
      </c>
      <c r="G964" t="inlineStr">
        <is>
          <t>Greedy</t>
        </is>
      </c>
      <c r="H964" t="inlineStr">
        <is>
          <t>Part II</t>
        </is>
      </c>
      <c r="I964" t="inlineStr">
        <is>
          <t>Leetcode</t>
        </is>
      </c>
      <c r="J964" t="inlineStr">
        <is>
          <t>Problem</t>
        </is>
      </c>
    </row>
    <row r="965">
      <c r="A965" t="n">
        <v>148</v>
      </c>
      <c r="B965" t="inlineStr">
        <is>
          <t>Divide Array in Sets of K Consecutive Numbers</t>
        </is>
      </c>
      <c r="C965">
        <f>HYPERLINK("https://leetcode.com/problems/divide-array-in-sets-of-k-consecutive-numbers/","divide-array-in-sets-of-k-consecutive-numbers")</f>
        <v/>
      </c>
      <c r="D965" t="inlineStr">
        <is>
          <t>-</t>
        </is>
      </c>
      <c r="E965" t="inlineStr">
        <is>
          <t>Medium</t>
        </is>
      </c>
      <c r="F965" t="n">
        <v>20</v>
      </c>
      <c r="G965" t="inlineStr">
        <is>
          <t>Greedy</t>
        </is>
      </c>
      <c r="H965" t="inlineStr">
        <is>
          <t>Part II</t>
        </is>
      </c>
      <c r="I965" t="inlineStr">
        <is>
          <t>Leetcode</t>
        </is>
      </c>
      <c r="J965" t="inlineStr">
        <is>
          <t>Problem</t>
        </is>
      </c>
    </row>
    <row r="966">
      <c r="A966" t="n">
        <v>608</v>
      </c>
      <c r="B966" t="inlineStr">
        <is>
          <t>Previous Permutation with One Swap</t>
        </is>
      </c>
      <c r="C966">
        <f>HYPERLINK("https://leetcode.com/problems/previous-permutation-with-one-swap/","previous-permutation-with-one-swap")</f>
        <v/>
      </c>
      <c r="D966" t="inlineStr">
        <is>
          <t>-</t>
        </is>
      </c>
      <c r="E966" t="inlineStr">
        <is>
          <t>Medium</t>
        </is>
      </c>
      <c r="F966" t="n">
        <v>20</v>
      </c>
      <c r="G966" t="inlineStr">
        <is>
          <t>Greedy</t>
        </is>
      </c>
      <c r="H966" t="inlineStr">
        <is>
          <t>Part II</t>
        </is>
      </c>
      <c r="I966" t="inlineStr">
        <is>
          <t>Leetcode</t>
        </is>
      </c>
      <c r="J966" t="inlineStr">
        <is>
          <t>Problem</t>
        </is>
      </c>
    </row>
    <row r="967">
      <c r="A967" t="n">
        <v>806</v>
      </c>
      <c r="B967" t="inlineStr">
        <is>
          <t>Partition Labels</t>
        </is>
      </c>
      <c r="C967">
        <f>HYPERLINK("https://leetcode.com/problems/partition-labels/","partition-labels")</f>
        <v/>
      </c>
      <c r="D967" t="inlineStr">
        <is>
          <t>-</t>
        </is>
      </c>
      <c r="E967" t="inlineStr">
        <is>
          <t>Medium</t>
        </is>
      </c>
      <c r="F967" t="n">
        <v>20</v>
      </c>
      <c r="G967" t="inlineStr">
        <is>
          <t>Greedy</t>
        </is>
      </c>
      <c r="H967" t="inlineStr">
        <is>
          <t>Part II</t>
        </is>
      </c>
      <c r="I967" t="inlineStr">
        <is>
          <t>Leetcode</t>
        </is>
      </c>
      <c r="J967" t="inlineStr">
        <is>
          <t>Problem</t>
        </is>
      </c>
    </row>
    <row r="968">
      <c r="A968" t="n">
        <v>87</v>
      </c>
      <c r="B968" t="inlineStr">
        <is>
          <t>Construct K Palindrome Strings</t>
        </is>
      </c>
      <c r="C968">
        <f>HYPERLINK("https://leetcode.com/problems/construct-k-palindrome-strings/","construct-k-palindrome-strings")</f>
        <v/>
      </c>
      <c r="D968" t="inlineStr">
        <is>
          <t>-</t>
        </is>
      </c>
      <c r="E968" t="inlineStr">
        <is>
          <t>Medium</t>
        </is>
      </c>
      <c r="F968" t="n">
        <v>20</v>
      </c>
      <c r="G968" t="inlineStr">
        <is>
          <t>Greedy</t>
        </is>
      </c>
      <c r="H968" t="inlineStr">
        <is>
          <t>Part II</t>
        </is>
      </c>
      <c r="I968" t="inlineStr">
        <is>
          <t>Leetcode</t>
        </is>
      </c>
      <c r="J968" t="inlineStr">
        <is>
          <t>Problem</t>
        </is>
      </c>
    </row>
    <row r="969">
      <c r="A969" t="n">
        <v>645</v>
      </c>
      <c r="B969" t="inlineStr">
        <is>
          <t>Reorganize String</t>
        </is>
      </c>
      <c r="C969">
        <f>HYPERLINK("https://leetcode.com/problems/reorganize-string/","reorganize-string")</f>
        <v/>
      </c>
      <c r="D969" t="inlineStr">
        <is>
          <t>-</t>
        </is>
      </c>
      <c r="E969" t="inlineStr">
        <is>
          <t>Medium</t>
        </is>
      </c>
      <c r="F969" t="n">
        <v>20</v>
      </c>
      <c r="G969" t="inlineStr">
        <is>
          <t>Greedy</t>
        </is>
      </c>
      <c r="H969" t="inlineStr">
        <is>
          <t>Part II</t>
        </is>
      </c>
      <c r="I969" t="inlineStr">
        <is>
          <t>Leetcode</t>
        </is>
      </c>
      <c r="J969" t="inlineStr">
        <is>
          <t>Problem</t>
        </is>
      </c>
    </row>
    <row r="970">
      <c r="A970" t="n">
        <v>719</v>
      </c>
      <c r="B970" t="inlineStr">
        <is>
          <t>String Without AAA or BBB</t>
        </is>
      </c>
      <c r="C970">
        <f>HYPERLINK("https://leetcode.com/problems/string-without-aaa-or-bbb/","string-without-aaa-or-bbb")</f>
        <v/>
      </c>
      <c r="D970" t="inlineStr">
        <is>
          <t>-</t>
        </is>
      </c>
      <c r="E970" t="inlineStr">
        <is>
          <t>Medium</t>
        </is>
      </c>
      <c r="F970" t="n">
        <v>20</v>
      </c>
      <c r="G970" t="inlineStr">
        <is>
          <t>Greedy</t>
        </is>
      </c>
      <c r="H970" t="inlineStr">
        <is>
          <t>Part II</t>
        </is>
      </c>
      <c r="I970" t="inlineStr">
        <is>
          <t>Leetcode</t>
        </is>
      </c>
      <c r="J970" t="inlineStr">
        <is>
          <t>Problem</t>
        </is>
      </c>
    </row>
    <row r="971">
      <c r="A971" t="n">
        <v>72</v>
      </c>
      <c r="B971" t="inlineStr">
        <is>
          <t>Check If a String Can Break Another String</t>
        </is>
      </c>
      <c r="C971">
        <f>HYPERLINK("https://leetcode.com/problems/check-if-a-string-can-break-another-string/","check-if-a-string-can-break-another-string")</f>
        <v/>
      </c>
      <c r="D971" t="inlineStr">
        <is>
          <t>-</t>
        </is>
      </c>
      <c r="E971" t="inlineStr">
        <is>
          <t>Medium</t>
        </is>
      </c>
      <c r="F971" t="n">
        <v>20</v>
      </c>
      <c r="G971" t="inlineStr">
        <is>
          <t>Greedy</t>
        </is>
      </c>
      <c r="H971" t="inlineStr">
        <is>
          <t>Part II</t>
        </is>
      </c>
      <c r="I971" t="inlineStr">
        <is>
          <t>Leetcode</t>
        </is>
      </c>
      <c r="J971" t="inlineStr">
        <is>
          <t>Problem</t>
        </is>
      </c>
    </row>
    <row r="972">
      <c r="A972" t="n">
        <v>635</v>
      </c>
      <c r="B972" t="inlineStr">
        <is>
          <t>Remove Duplicate Letters</t>
        </is>
      </c>
      <c r="C972">
        <f>HYPERLINK("https://leetcode.com/problems/remove-duplicate-letters","remove-duplicate-letters")</f>
        <v/>
      </c>
      <c r="D972" t="inlineStr">
        <is>
          <t>-</t>
        </is>
      </c>
      <c r="E972" t="inlineStr">
        <is>
          <t>Medium</t>
        </is>
      </c>
      <c r="F972" t="n">
        <v>20</v>
      </c>
      <c r="G972" t="inlineStr">
        <is>
          <t>Greedy</t>
        </is>
      </c>
      <c r="H972" t="inlineStr">
        <is>
          <t>Part II</t>
        </is>
      </c>
      <c r="I972" t="inlineStr">
        <is>
          <t>Leetcode</t>
        </is>
      </c>
      <c r="J972" t="inlineStr">
        <is>
          <t>Problem</t>
        </is>
      </c>
    </row>
    <row r="973">
      <c r="A973" t="n">
        <v>236</v>
      </c>
      <c r="B973" t="inlineStr">
        <is>
          <t>Largest Merge of Two Strings</t>
        </is>
      </c>
      <c r="C973">
        <f>HYPERLINK("https://leetcode.com/problems/largest-merge-of-two-strings","largest-merge-of-two-strings")</f>
        <v/>
      </c>
      <c r="D973" t="inlineStr">
        <is>
          <t>-</t>
        </is>
      </c>
      <c r="E973" t="inlineStr">
        <is>
          <t>Medium</t>
        </is>
      </c>
      <c r="F973" t="n">
        <v>20</v>
      </c>
      <c r="G973" t="inlineStr">
        <is>
          <t>Greedy</t>
        </is>
      </c>
      <c r="H973" t="inlineStr">
        <is>
          <t>Part II</t>
        </is>
      </c>
      <c r="I973" t="inlineStr">
        <is>
          <t>Leetcode</t>
        </is>
      </c>
      <c r="J973" t="inlineStr">
        <is>
          <t>Problem</t>
        </is>
      </c>
    </row>
    <row r="974">
      <c r="A974" t="n">
        <v>685</v>
      </c>
      <c r="B974" t="inlineStr">
        <is>
          <t>Shortest String That Contains Three Strings</t>
        </is>
      </c>
      <c r="C974">
        <f>HYPERLINK("https://leetcode.com/problems/shortest-string-that-contains-three-strings/","shortest-string-that-contains-three-strings")</f>
        <v/>
      </c>
      <c r="D974" t="inlineStr">
        <is>
          <t>-</t>
        </is>
      </c>
      <c r="E974" t="inlineStr">
        <is>
          <t>Medium</t>
        </is>
      </c>
      <c r="F974" t="n">
        <v>20</v>
      </c>
      <c r="G974" t="inlineStr">
        <is>
          <t>Greedy</t>
        </is>
      </c>
      <c r="H974" t="inlineStr">
        <is>
          <t>Part II</t>
        </is>
      </c>
      <c r="I974" t="inlineStr">
        <is>
          <t>Leetcode</t>
        </is>
      </c>
      <c r="J974" t="inlineStr">
        <is>
          <t>Problem</t>
        </is>
      </c>
    </row>
    <row r="975">
      <c r="A975" t="n">
        <v>252</v>
      </c>
      <c r="B975" t="inlineStr">
        <is>
          <t>Lexicographically Smallest String After Substring Operation</t>
        </is>
      </c>
      <c r="C975">
        <f>HYPERLINK("https://leetcode.com/problems/lexicographically-smallest-string-after-substring-operation/","lexicographically-smallest-string-after-substring-operation")</f>
        <v/>
      </c>
      <c r="D975" t="inlineStr">
        <is>
          <t>-</t>
        </is>
      </c>
      <c r="E975" t="inlineStr">
        <is>
          <t>Medium</t>
        </is>
      </c>
      <c r="F975" t="n">
        <v>20</v>
      </c>
      <c r="G975" t="inlineStr">
        <is>
          <t>Greedy</t>
        </is>
      </c>
      <c r="H975" t="inlineStr">
        <is>
          <t>Part II</t>
        </is>
      </c>
      <c r="I975" t="inlineStr">
        <is>
          <t>Leetcode</t>
        </is>
      </c>
      <c r="J975" t="inlineStr">
        <is>
          <t>Problem</t>
        </is>
      </c>
    </row>
    <row r="976">
      <c r="A976" t="n">
        <v>413</v>
      </c>
      <c r="B976" t="inlineStr">
        <is>
          <t>Minimum Rounds to Complete All Tasks</t>
        </is>
      </c>
      <c r="C976">
        <f>HYPERLINK("https://leetcode.com/problems/minimum-rounds-to-complete-all-tasks/description/","minimum-rounds-to-complete-all-tasks")</f>
        <v/>
      </c>
      <c r="D976" t="inlineStr">
        <is>
          <t>-</t>
        </is>
      </c>
      <c r="E976" t="inlineStr">
        <is>
          <t>Medium</t>
        </is>
      </c>
      <c r="F976" t="n">
        <v>20</v>
      </c>
      <c r="G976" t="inlineStr">
        <is>
          <t>Greedy</t>
        </is>
      </c>
      <c r="H976" t="inlineStr">
        <is>
          <t>Part II</t>
        </is>
      </c>
      <c r="I976" t="inlineStr">
        <is>
          <t>Leetcode</t>
        </is>
      </c>
      <c r="J976" t="inlineStr">
        <is>
          <t>Problem</t>
        </is>
      </c>
    </row>
    <row r="977">
      <c r="A977" t="n">
        <v>554</v>
      </c>
      <c r="B977" t="inlineStr">
        <is>
          <t>Number of Burgers with No Waste of Ingredients</t>
        </is>
      </c>
      <c r="C977">
        <f>HYPERLINK("https://leetcode.com/problems/number-of-burgers-with-no-waste-of-ingredients/","number-of-burgers-with-no-waste-of-ingredients")</f>
        <v/>
      </c>
      <c r="D977" t="inlineStr">
        <is>
          <t>-</t>
        </is>
      </c>
      <c r="E977" t="inlineStr">
        <is>
          <t>Medium</t>
        </is>
      </c>
      <c r="F977" t="n">
        <v>20</v>
      </c>
      <c r="G977" t="inlineStr">
        <is>
          <t>Greedy</t>
        </is>
      </c>
      <c r="H977" t="inlineStr">
        <is>
          <t>Part II</t>
        </is>
      </c>
      <c r="I977" t="inlineStr">
        <is>
          <t>Leetcode</t>
        </is>
      </c>
      <c r="J977" t="inlineStr">
        <is>
          <t>Problem</t>
        </is>
      </c>
    </row>
    <row r="978">
      <c r="A978" t="n">
        <v>616</v>
      </c>
      <c r="B978" t="inlineStr">
        <is>
          <t>Queue Reconstruction by Height</t>
        </is>
      </c>
      <c r="C978">
        <f>HYPERLINK("https://leetcode.com/problems/queue-reconstruction-by-height/","queue-reconstruction-by-height")</f>
        <v/>
      </c>
      <c r="D978" t="inlineStr">
        <is>
          <t>-</t>
        </is>
      </c>
      <c r="E978" t="inlineStr">
        <is>
          <t>Medium</t>
        </is>
      </c>
      <c r="F978" t="n">
        <v>20</v>
      </c>
      <c r="G978" t="inlineStr">
        <is>
          <t>Greedy</t>
        </is>
      </c>
      <c r="H978" t="inlineStr">
        <is>
          <t>Part II</t>
        </is>
      </c>
      <c r="I978" t="inlineStr">
        <is>
          <t>Leetcode</t>
        </is>
      </c>
      <c r="J978" t="inlineStr">
        <is>
          <t>Problem</t>
        </is>
      </c>
    </row>
    <row r="979">
      <c r="A979" t="n">
        <v>444</v>
      </c>
      <c r="B979" t="inlineStr">
        <is>
          <t>Car Pooling</t>
        </is>
      </c>
      <c r="C979">
        <f>HYPERLINK("https://leetcode.com/problems/car-pooling/","car-pooling")</f>
        <v/>
      </c>
      <c r="D979" t="inlineStr">
        <is>
          <t>-</t>
        </is>
      </c>
      <c r="E979" t="inlineStr">
        <is>
          <t>Medium</t>
        </is>
      </c>
      <c r="F979" t="n">
        <v>20</v>
      </c>
      <c r="G979" t="inlineStr">
        <is>
          <t>Greedy</t>
        </is>
      </c>
      <c r="H979" t="inlineStr">
        <is>
          <t>Part II</t>
        </is>
      </c>
      <c r="I979" t="inlineStr">
        <is>
          <t>Leetcode</t>
        </is>
      </c>
      <c r="J979" t="inlineStr">
        <is>
          <t>Problem</t>
        </is>
      </c>
    </row>
    <row r="980">
      <c r="A980" t="n">
        <v>81</v>
      </c>
      <c r="B980" t="inlineStr">
        <is>
          <t>Climbing Stairs</t>
        </is>
      </c>
      <c r="C980">
        <f>HYPERLINK("https://leetcode.com/problems/climbing-stairs/","climbing-stairs")</f>
        <v/>
      </c>
      <c r="D980" t="inlineStr">
        <is>
          <t>-</t>
        </is>
      </c>
      <c r="E980" t="inlineStr">
        <is>
          <t>Easy</t>
        </is>
      </c>
      <c r="F980" t="n">
        <v>21</v>
      </c>
      <c r="G980" t="inlineStr">
        <is>
          <t>Dynamic Programming Level 1</t>
        </is>
      </c>
      <c r="H980" t="inlineStr">
        <is>
          <t>Linear DP</t>
        </is>
      </c>
      <c r="I980" t="inlineStr">
        <is>
          <t>Leetcode</t>
        </is>
      </c>
      <c r="J980" t="inlineStr">
        <is>
          <t>Problem</t>
        </is>
      </c>
    </row>
    <row r="981">
      <c r="A981" t="n">
        <v>361</v>
      </c>
      <c r="B981" t="inlineStr">
        <is>
          <t>Min Cost Climbing Stairs</t>
        </is>
      </c>
      <c r="C981">
        <f>HYPERLINK("https://leetcode.com/problems/min-cost-climbing-stairs/","min-cost-climbing-stairs")</f>
        <v/>
      </c>
      <c r="D981" t="inlineStr">
        <is>
          <t>-</t>
        </is>
      </c>
      <c r="E981" t="inlineStr">
        <is>
          <t>Easy</t>
        </is>
      </c>
      <c r="F981" t="n">
        <v>21</v>
      </c>
      <c r="G981" t="inlineStr">
        <is>
          <t>Dynamic Programming Level 1</t>
        </is>
      </c>
      <c r="H981" t="inlineStr">
        <is>
          <t>Linear DP</t>
        </is>
      </c>
      <c r="I981" t="inlineStr">
        <is>
          <t>Leetcode</t>
        </is>
      </c>
      <c r="J981" t="inlineStr">
        <is>
          <t>Problem</t>
        </is>
      </c>
    </row>
    <row r="982">
      <c r="A982" t="n">
        <v>829</v>
      </c>
      <c r="B982" t="inlineStr">
        <is>
          <t>Perfect Squares</t>
        </is>
      </c>
      <c r="C982">
        <f>HYPERLINK("https://leetcode.com/problems/perfect-squares/","perfect-squares")</f>
        <v/>
      </c>
      <c r="D982" t="inlineStr">
        <is>
          <t>-</t>
        </is>
      </c>
      <c r="E982" t="inlineStr">
        <is>
          <t>Medium</t>
        </is>
      </c>
      <c r="F982" t="n">
        <v>21</v>
      </c>
      <c r="G982" t="inlineStr">
        <is>
          <t>Dynamic Programming Level 1</t>
        </is>
      </c>
      <c r="H982" t="inlineStr">
        <is>
          <t>Linear DP</t>
        </is>
      </c>
      <c r="I982" t="inlineStr">
        <is>
          <t>Leetcode</t>
        </is>
      </c>
      <c r="J982" t="inlineStr">
        <is>
          <t>Problem</t>
        </is>
      </c>
    </row>
    <row r="983">
      <c r="A983" t="n">
        <v>12</v>
      </c>
      <c r="B983" t="inlineStr">
        <is>
          <t>Decode Ways</t>
        </is>
      </c>
      <c r="C983">
        <f>HYPERLINK("https://leetcode.com/problems/decode-ways/","decode-ways")</f>
        <v/>
      </c>
      <c r="D983" t="inlineStr">
        <is>
          <t>-</t>
        </is>
      </c>
      <c r="E983" t="inlineStr">
        <is>
          <t>Medium</t>
        </is>
      </c>
      <c r="F983" t="n">
        <v>21</v>
      </c>
      <c r="G983" t="inlineStr">
        <is>
          <t>Dynamic Programming Level 1</t>
        </is>
      </c>
      <c r="H983" t="inlineStr">
        <is>
          <t>Linear DP</t>
        </is>
      </c>
      <c r="I983" t="inlineStr">
        <is>
          <t>Leetcode</t>
        </is>
      </c>
      <c r="J983" t="inlineStr">
        <is>
          <t>Problem</t>
        </is>
      </c>
    </row>
    <row r="984">
      <c r="A984" t="n">
        <v>821</v>
      </c>
      <c r="B984" t="inlineStr">
        <is>
          <t>Unique Binary Search Trees</t>
        </is>
      </c>
      <c r="C984">
        <f>HYPERLINK("https://leetcode.com/problems/unique-binary-search-trees/description/","unique-binary-search-trees")</f>
        <v/>
      </c>
      <c r="D984" t="inlineStr">
        <is>
          <t>-</t>
        </is>
      </c>
      <c r="E984" t="inlineStr">
        <is>
          <t>Medium</t>
        </is>
      </c>
      <c r="F984" t="n">
        <v>21</v>
      </c>
      <c r="G984" t="inlineStr">
        <is>
          <t>Dynamic Programming Level 1</t>
        </is>
      </c>
      <c r="H984" t="inlineStr">
        <is>
          <t>Linear DP</t>
        </is>
      </c>
      <c r="I984" t="inlineStr">
        <is>
          <t>Leetcode</t>
        </is>
      </c>
      <c r="J984" t="inlineStr">
        <is>
          <t>Problem</t>
        </is>
      </c>
    </row>
    <row r="985">
      <c r="A985" t="n">
        <v>2</v>
      </c>
      <c r="B985" t="inlineStr">
        <is>
          <t>House Robber</t>
        </is>
      </c>
      <c r="C985">
        <f>HYPERLINK("https://leetcode.com/problems/house-robber/","house-robber")</f>
        <v/>
      </c>
      <c r="D985" t="inlineStr">
        <is>
          <t>-</t>
        </is>
      </c>
      <c r="E985" t="inlineStr">
        <is>
          <t>Medium</t>
        </is>
      </c>
      <c r="F985" t="n">
        <v>21</v>
      </c>
      <c r="G985" t="inlineStr">
        <is>
          <t>Dynamic Programming Level 1</t>
        </is>
      </c>
      <c r="H985" t="inlineStr">
        <is>
          <t>Linear DP</t>
        </is>
      </c>
      <c r="I985" t="inlineStr">
        <is>
          <t>Leetcode</t>
        </is>
      </c>
      <c r="J985" t="inlineStr">
        <is>
          <t>Problem</t>
        </is>
      </c>
    </row>
    <row r="986">
      <c r="A986" t="n">
        <v>1</v>
      </c>
      <c r="B986" t="inlineStr">
        <is>
          <t>Coin Change</t>
        </is>
      </c>
      <c r="C986">
        <f>HYPERLINK("https://leetcode.com/problems/coin-change/","coin-change")</f>
        <v/>
      </c>
      <c r="D986" t="inlineStr">
        <is>
          <t>-</t>
        </is>
      </c>
      <c r="E986" t="inlineStr">
        <is>
          <t>Medium</t>
        </is>
      </c>
      <c r="F986" t="n">
        <v>21</v>
      </c>
      <c r="G986" t="inlineStr">
        <is>
          <t>Dynamic Programming Level 1</t>
        </is>
      </c>
      <c r="H986" t="inlineStr">
        <is>
          <t>Linear DP</t>
        </is>
      </c>
      <c r="I986" t="inlineStr">
        <is>
          <t>Leetcode</t>
        </is>
      </c>
      <c r="J986" t="inlineStr">
        <is>
          <t>Problem</t>
        </is>
      </c>
    </row>
    <row r="987">
      <c r="A987" t="n">
        <v>47</v>
      </c>
      <c r="B987" t="inlineStr">
        <is>
          <t>Best Time to Buy and Sell Stock</t>
        </is>
      </c>
      <c r="C987">
        <f>HYPERLINK("https://leetcode.com/problems/best-time-to-buy-and-sell-stock/","best-time-to-buy-and-sell-stock")</f>
        <v/>
      </c>
      <c r="D987" t="inlineStr">
        <is>
          <t>-</t>
        </is>
      </c>
      <c r="E987" t="inlineStr">
        <is>
          <t>Easy</t>
        </is>
      </c>
      <c r="F987" t="n">
        <v>21</v>
      </c>
      <c r="G987" t="inlineStr">
        <is>
          <t>Dynamic Programming Level 1</t>
        </is>
      </c>
      <c r="H987" t="inlineStr">
        <is>
          <t>Linear DP</t>
        </is>
      </c>
      <c r="I987" t="inlineStr">
        <is>
          <t>Leetcode</t>
        </is>
      </c>
      <c r="J987" t="inlineStr">
        <is>
          <t>Problem</t>
        </is>
      </c>
    </row>
    <row r="988">
      <c r="A988" t="n">
        <v>519</v>
      </c>
      <c r="B988" t="inlineStr">
        <is>
          <t>Minimum Cost For Tickets</t>
        </is>
      </c>
      <c r="C988">
        <f>HYPERLINK("https://leetcode.com/problems/minimum-cost-for-tickets/","minimum-cost-for-tickets")</f>
        <v/>
      </c>
      <c r="D988" t="inlineStr">
        <is>
          <t>-</t>
        </is>
      </c>
      <c r="E988" t="inlineStr">
        <is>
          <t>Medium</t>
        </is>
      </c>
      <c r="F988" t="n">
        <v>21</v>
      </c>
      <c r="G988" t="inlineStr">
        <is>
          <t>Dynamic Programming Level 1</t>
        </is>
      </c>
      <c r="H988" t="inlineStr">
        <is>
          <t>Linear DP</t>
        </is>
      </c>
      <c r="I988" t="inlineStr">
        <is>
          <t>Leetcode</t>
        </is>
      </c>
      <c r="J988" t="inlineStr">
        <is>
          <t>Problem</t>
        </is>
      </c>
    </row>
    <row r="989">
      <c r="A989" t="n">
        <v>499</v>
      </c>
      <c r="B989" t="inlineStr">
        <is>
          <t>Delete and Earn</t>
        </is>
      </c>
      <c r="C989">
        <f>HYPERLINK("https://leetcode.com/problems/delete-and-earn/","delete-and-earn")</f>
        <v/>
      </c>
      <c r="D989" t="inlineStr">
        <is>
          <t>-</t>
        </is>
      </c>
      <c r="E989" t="inlineStr">
        <is>
          <t>Medium</t>
        </is>
      </c>
      <c r="F989" t="n">
        <v>21</v>
      </c>
      <c r="G989" t="inlineStr">
        <is>
          <t>Dynamic Programming Level 1</t>
        </is>
      </c>
      <c r="H989" t="inlineStr">
        <is>
          <t>Linear DP</t>
        </is>
      </c>
      <c r="I989" t="inlineStr">
        <is>
          <t>Leetcode</t>
        </is>
      </c>
      <c r="J989" t="inlineStr">
        <is>
          <t>Problem</t>
        </is>
      </c>
    </row>
    <row r="990">
      <c r="A990" t="n">
        <v>352</v>
      </c>
      <c r="B990" t="inlineStr">
        <is>
          <t>Maximum Total Damage With Spell Casting</t>
        </is>
      </c>
      <c r="C990">
        <f>HYPERLINK("https://leetcode.com/problems/maximum-total-damage-with-spell-casting/description/","maximum-total-damage-with-spell-casting")</f>
        <v/>
      </c>
      <c r="D990" t="inlineStr">
        <is>
          <t>-</t>
        </is>
      </c>
      <c r="E990" t="inlineStr">
        <is>
          <t>Medium</t>
        </is>
      </c>
      <c r="F990" t="n">
        <v>21</v>
      </c>
      <c r="G990" t="inlineStr">
        <is>
          <t>Dynamic Programming Level 1</t>
        </is>
      </c>
      <c r="H990" t="inlineStr">
        <is>
          <t>Linear DP</t>
        </is>
      </c>
      <c r="I990" t="inlineStr">
        <is>
          <t>Leetcode</t>
        </is>
      </c>
      <c r="J990" t="inlineStr">
        <is>
          <t>Problem</t>
        </is>
      </c>
    </row>
    <row r="991">
      <c r="A991" t="n">
        <v>38</v>
      </c>
      <c r="B991" t="inlineStr">
        <is>
          <t>Arithmetic Slices</t>
        </is>
      </c>
      <c r="C991">
        <f>HYPERLINK("https://leetcode.com/problems/arithmetic-slices/","arithmetic-slices")</f>
        <v/>
      </c>
      <c r="D991" t="inlineStr">
        <is>
          <t>-</t>
        </is>
      </c>
      <c r="E991" t="inlineStr">
        <is>
          <t>Medium</t>
        </is>
      </c>
      <c r="F991" t="n">
        <v>21</v>
      </c>
      <c r="G991" t="inlineStr">
        <is>
          <t>Dynamic Programming Level 1</t>
        </is>
      </c>
      <c r="H991" t="inlineStr">
        <is>
          <t>Linear DP</t>
        </is>
      </c>
      <c r="I991" t="inlineStr">
        <is>
          <t>Leetcode</t>
        </is>
      </c>
      <c r="J991" t="inlineStr">
        <is>
          <t>Problem</t>
        </is>
      </c>
    </row>
    <row r="992">
      <c r="A992" t="n">
        <v>255</v>
      </c>
      <c r="B992" t="inlineStr">
        <is>
          <t>Longest Arithmetic Subsequence of Given Difference</t>
        </is>
      </c>
      <c r="C992">
        <f>HYPERLINK("https://leetcode.com/problems/longest-arithmetic-subsequence-of-given-difference/description/","longest-arithmetic-subsequence-of-given-difference")</f>
        <v/>
      </c>
      <c r="D992" t="inlineStr">
        <is>
          <t>-</t>
        </is>
      </c>
      <c r="E992" t="inlineStr">
        <is>
          <t>Medium</t>
        </is>
      </c>
      <c r="F992" t="n">
        <v>21</v>
      </c>
      <c r="G992" t="inlineStr">
        <is>
          <t>Dynamic Programming Level 1</t>
        </is>
      </c>
      <c r="H992" t="inlineStr">
        <is>
          <t>Linear DP</t>
        </is>
      </c>
      <c r="I992" t="inlineStr">
        <is>
          <t>Leetcode</t>
        </is>
      </c>
      <c r="J992" t="inlineStr">
        <is>
          <t>Problem</t>
        </is>
      </c>
    </row>
    <row r="993">
      <c r="A993" t="n">
        <v>586</v>
      </c>
      <c r="B993" t="inlineStr">
        <is>
          <t>Partition Array for Maximum Sum</t>
        </is>
      </c>
      <c r="C993">
        <f>HYPERLINK("https://leetcode.com/problems/partition-array-for-maximum-sum/description/","partition-array-for-maximum-sum")</f>
        <v/>
      </c>
      <c r="D993" t="inlineStr">
        <is>
          <t>-</t>
        </is>
      </c>
      <c r="E993" t="inlineStr">
        <is>
          <t>Medium</t>
        </is>
      </c>
      <c r="F993" t="n">
        <v>21</v>
      </c>
      <c r="G993" t="inlineStr">
        <is>
          <t>Dynamic Programming Level 1</t>
        </is>
      </c>
      <c r="H993" t="inlineStr">
        <is>
          <t>Linear DP</t>
        </is>
      </c>
      <c r="I993" t="inlineStr">
        <is>
          <t>Leetcode</t>
        </is>
      </c>
      <c r="J993" t="inlineStr">
        <is>
          <t>Problem</t>
        </is>
      </c>
    </row>
    <row r="994">
      <c r="A994" t="n">
        <v>1536</v>
      </c>
      <c r="B994" t="inlineStr">
        <is>
          <t>Maximize Consecutive Elements in an Array After Modification</t>
        </is>
      </c>
      <c r="C994">
        <f>HYPERLINK("https://learnyard.com/practice/dsa","Solve Problem")</f>
        <v/>
      </c>
      <c r="D994" t="inlineStr">
        <is>
          <t>-</t>
        </is>
      </c>
      <c r="E994" t="inlineStr">
        <is>
          <t>Hard</t>
        </is>
      </c>
      <c r="F994" t="n">
        <v>21</v>
      </c>
      <c r="G994" t="inlineStr">
        <is>
          <t>Dynamic Programming Level 1</t>
        </is>
      </c>
      <c r="H994" t="inlineStr">
        <is>
          <t>Linear DP</t>
        </is>
      </c>
      <c r="I994" t="inlineStr">
        <is>
          <t>Leetcode</t>
        </is>
      </c>
      <c r="J994" t="inlineStr">
        <is>
          <t>Problem</t>
        </is>
      </c>
    </row>
    <row r="995">
      <c r="A995" t="n">
        <v>449</v>
      </c>
      <c r="B995" t="inlineStr">
        <is>
          <t>Coin Change II</t>
        </is>
      </c>
      <c r="C995">
        <f>HYPERLINK("https://leetcode.com/problems/coin-change-ii/description/","coin-change-ii")</f>
        <v/>
      </c>
      <c r="D995" t="inlineStr">
        <is>
          <t>-</t>
        </is>
      </c>
      <c r="E995" t="inlineStr">
        <is>
          <t>Medium</t>
        </is>
      </c>
      <c r="F995" t="n">
        <v>21</v>
      </c>
      <c r="G995" t="inlineStr">
        <is>
          <t>Dynamic Programming Level 1</t>
        </is>
      </c>
      <c r="H995" t="inlineStr">
        <is>
          <t>2 Dimensional DP</t>
        </is>
      </c>
      <c r="I995" t="inlineStr">
        <is>
          <t>Leetcode</t>
        </is>
      </c>
      <c r="J995" t="inlineStr">
        <is>
          <t>Problem</t>
        </is>
      </c>
    </row>
    <row r="996">
      <c r="A996" t="n">
        <v>227</v>
      </c>
      <c r="B996" t="inlineStr">
        <is>
          <t>Knight Dialer</t>
        </is>
      </c>
      <c r="C996">
        <f>HYPERLINK("https://leetcode.com/problems/knight-dialer/","knight-dialer")</f>
        <v/>
      </c>
      <c r="D996" t="inlineStr">
        <is>
          <t>-</t>
        </is>
      </c>
      <c r="E996" t="inlineStr">
        <is>
          <t>Medium</t>
        </is>
      </c>
      <c r="F996" t="n">
        <v>21</v>
      </c>
      <c r="G996" t="inlineStr">
        <is>
          <t>Dynamic Programming Level 1</t>
        </is>
      </c>
      <c r="H996" t="inlineStr">
        <is>
          <t>2 Dimensional DP</t>
        </is>
      </c>
      <c r="I996" t="inlineStr">
        <is>
          <t>Leetcode</t>
        </is>
      </c>
      <c r="J996" t="inlineStr">
        <is>
          <t>Problem</t>
        </is>
      </c>
    </row>
    <row r="997">
      <c r="A997" t="n">
        <v>11</v>
      </c>
      <c r="B997" t="inlineStr">
        <is>
          <t>Partition Equal Subset Sum</t>
        </is>
      </c>
      <c r="C997">
        <f>HYPERLINK("https://leetcode.com/problems/partition-equal-subset-sum/description/","partition-equal-subset-sum")</f>
        <v/>
      </c>
      <c r="D997" t="inlineStr">
        <is>
          <t>-</t>
        </is>
      </c>
      <c r="E997" t="inlineStr">
        <is>
          <t>Medium</t>
        </is>
      </c>
      <c r="F997" t="n">
        <v>21</v>
      </c>
      <c r="G997" t="inlineStr">
        <is>
          <t>Dynamic Programming Level 1</t>
        </is>
      </c>
      <c r="H997" t="inlineStr">
        <is>
          <t>2 Dimensional DP</t>
        </is>
      </c>
      <c r="I997" t="inlineStr">
        <is>
          <t>Leetcode</t>
        </is>
      </c>
      <c r="J997" t="inlineStr">
        <is>
          <t>Problem</t>
        </is>
      </c>
    </row>
    <row r="998">
      <c r="A998" t="n">
        <v>753</v>
      </c>
      <c r="B998" t="inlineStr">
        <is>
          <t>Triangle</t>
        </is>
      </c>
      <c r="C998">
        <f>HYPERLINK("https://leetcode.com/problems/triangle/","triangle")</f>
        <v/>
      </c>
      <c r="D998" t="inlineStr">
        <is>
          <t>-</t>
        </is>
      </c>
      <c r="E998" t="inlineStr">
        <is>
          <t>Medium</t>
        </is>
      </c>
      <c r="F998" t="n">
        <v>21</v>
      </c>
      <c r="G998" t="inlineStr">
        <is>
          <t>Dynamic Programming Level 1</t>
        </is>
      </c>
      <c r="H998" t="inlineStr">
        <is>
          <t>2 Dimensional DP</t>
        </is>
      </c>
      <c r="I998" t="inlineStr">
        <is>
          <t>Leetcode</t>
        </is>
      </c>
      <c r="J998" t="inlineStr">
        <is>
          <t>Problem</t>
        </is>
      </c>
    </row>
    <row r="999">
      <c r="A999" t="n">
        <v>720</v>
      </c>
      <c r="B999" t="inlineStr">
        <is>
          <t>Student Attendance Record Leetcode</t>
        </is>
      </c>
      <c r="C999">
        <f>HYPERLINK("https://leetcode.com/problems/student-attendance-record-ii/description/","student-attendance-record-ii")</f>
        <v/>
      </c>
      <c r="D999" t="inlineStr">
        <is>
          <t>-</t>
        </is>
      </c>
      <c r="E999" t="inlineStr">
        <is>
          <t>Hard</t>
        </is>
      </c>
      <c r="F999" t="n">
        <v>21</v>
      </c>
      <c r="G999" t="inlineStr">
        <is>
          <t>Dynamic Programming Level 1</t>
        </is>
      </c>
      <c r="H999" t="inlineStr">
        <is>
          <t>2 Dimensional DP</t>
        </is>
      </c>
      <c r="I999" t="inlineStr">
        <is>
          <t>Leetcode</t>
        </is>
      </c>
      <c r="J999" t="inlineStr">
        <is>
          <t>Problem</t>
        </is>
      </c>
    </row>
    <row r="1000">
      <c r="A1000" t="n">
        <v>468</v>
      </c>
      <c r="B1000" t="inlineStr">
        <is>
          <t>Find the Maximum Length of a Good Subsequence II</t>
        </is>
      </c>
      <c r="C1000">
        <f>HYPERLINK("https://leetcode.com/problems/find-the-maximum-length-of-a-good-subsequence-ii/description/","find-the-maximum-length-of-a-good-subsequence-ii")</f>
        <v/>
      </c>
      <c r="D1000" t="inlineStr">
        <is>
          <t>-</t>
        </is>
      </c>
      <c r="E1000" t="inlineStr">
        <is>
          <t>Hard</t>
        </is>
      </c>
      <c r="F1000" t="n">
        <v>21</v>
      </c>
      <c r="G1000" t="inlineStr">
        <is>
          <t>Dynamic Programming Level 1</t>
        </is>
      </c>
      <c r="H1000" t="inlineStr">
        <is>
          <t>2 Dimensional DP</t>
        </is>
      </c>
      <c r="I1000" t="inlineStr">
        <is>
          <t>Leetcode</t>
        </is>
      </c>
      <c r="J1000" t="inlineStr">
        <is>
          <t>Problem</t>
        </is>
      </c>
    </row>
    <row r="1001">
      <c r="A1001" t="n">
        <v>14</v>
      </c>
      <c r="B1001" t="inlineStr">
        <is>
          <t>K Inverse Pairs Array</t>
        </is>
      </c>
      <c r="C1001">
        <f>HYPERLINK("https://leetcode.com/problems/k-inverse-pairs-array/","k-inverse-pairs-array")</f>
        <v/>
      </c>
      <c r="D1001" t="inlineStr">
        <is>
          <t>-</t>
        </is>
      </c>
      <c r="E1001" t="inlineStr">
        <is>
          <t>Hard</t>
        </is>
      </c>
      <c r="F1001" t="n">
        <v>21</v>
      </c>
      <c r="G1001" t="inlineStr">
        <is>
          <t>Dynamic Programming Level 1</t>
        </is>
      </c>
      <c r="H1001" t="inlineStr">
        <is>
          <t>2 Dimensional DP</t>
        </is>
      </c>
      <c r="I1001" t="inlineStr">
        <is>
          <t>Leetcode</t>
        </is>
      </c>
      <c r="J1001" t="inlineStr">
        <is>
          <t>Problem</t>
        </is>
      </c>
    </row>
    <row r="1002">
      <c r="A1002" t="n">
        <v>431</v>
      </c>
      <c r="B1002" t="inlineStr">
        <is>
          <t>Combination Sum IV</t>
        </is>
      </c>
      <c r="C1002">
        <f>HYPERLINK("https://leetcode.com/problems/combination-sum-iv/","combination-sum-iv")</f>
        <v/>
      </c>
      <c r="D1002" t="inlineStr">
        <is>
          <t>-</t>
        </is>
      </c>
      <c r="E1002" t="inlineStr">
        <is>
          <t>Medium</t>
        </is>
      </c>
      <c r="F1002" t="n">
        <v>21</v>
      </c>
      <c r="G1002" t="inlineStr">
        <is>
          <t>Dynamic Programming Level 1</t>
        </is>
      </c>
      <c r="H1002" t="inlineStr">
        <is>
          <t>2 Dimensional DP</t>
        </is>
      </c>
      <c r="I1002" t="inlineStr">
        <is>
          <t>Leetcode</t>
        </is>
      </c>
      <c r="J1002" t="inlineStr">
        <is>
          <t>Problem</t>
        </is>
      </c>
    </row>
    <row r="1003">
      <c r="A1003" t="n">
        <v>480</v>
      </c>
      <c r="B1003" t="inlineStr">
        <is>
          <t>Largest Sum of Averages</t>
        </is>
      </c>
      <c r="C1003">
        <f>HYPERLINK("https://leetcode.com/problems/largest-sum-of-averages/","largest-sum-of-averages")</f>
        <v/>
      </c>
      <c r="D1003" t="inlineStr">
        <is>
          <t>-</t>
        </is>
      </c>
      <c r="E1003" t="inlineStr">
        <is>
          <t>Medium</t>
        </is>
      </c>
      <c r="F1003" t="n">
        <v>21</v>
      </c>
      <c r="G1003" t="inlineStr">
        <is>
          <t>Dynamic Programming Level 1</t>
        </is>
      </c>
      <c r="H1003" t="inlineStr">
        <is>
          <t>2 Dimensional DP</t>
        </is>
      </c>
      <c r="I1003" t="inlineStr">
        <is>
          <t>Leetcode</t>
        </is>
      </c>
      <c r="J1003" t="inlineStr">
        <is>
          <t>Problem</t>
        </is>
      </c>
    </row>
    <row r="1004">
      <c r="A1004" t="n">
        <v>13</v>
      </c>
      <c r="B1004" t="inlineStr">
        <is>
          <t>Longest Arithmetic Subsequence</t>
        </is>
      </c>
      <c r="C1004">
        <f>HYPERLINK("https://leetcode.com/problems/longest-arithmetic-subsequence/","longest-arithmetic-subsequence")</f>
        <v/>
      </c>
      <c r="D1004" t="inlineStr">
        <is>
          <t>-</t>
        </is>
      </c>
      <c r="E1004" t="inlineStr">
        <is>
          <t>Medium</t>
        </is>
      </c>
      <c r="F1004" t="n">
        <v>21</v>
      </c>
      <c r="G1004" t="inlineStr">
        <is>
          <t>Dynamic Programming Level 1</t>
        </is>
      </c>
      <c r="H1004" t="inlineStr">
        <is>
          <t>2 Dimensional DP</t>
        </is>
      </c>
      <c r="I1004" t="inlineStr">
        <is>
          <t>Leetcode</t>
        </is>
      </c>
      <c r="J1004" t="inlineStr">
        <is>
          <t>Problem</t>
        </is>
      </c>
    </row>
    <row r="1005">
      <c r="A1005" t="n">
        <v>555</v>
      </c>
      <c r="B1005" t="inlineStr">
        <is>
          <t>Number of Dice Rolls With Target Sum</t>
        </is>
      </c>
      <c r="C1005">
        <f>HYPERLINK("https://leetcode.com/problems/number-of-dice-rolls-with-target-sum/","number-of-dice-rolls-with-target-sum")</f>
        <v/>
      </c>
      <c r="D1005" t="inlineStr">
        <is>
          <t>-</t>
        </is>
      </c>
      <c r="E1005" t="inlineStr">
        <is>
          <t>Medium</t>
        </is>
      </c>
      <c r="F1005" t="n">
        <v>21</v>
      </c>
      <c r="G1005" t="inlineStr">
        <is>
          <t>Dynamic Programming Level 1</t>
        </is>
      </c>
      <c r="H1005" t="inlineStr">
        <is>
          <t>2 Dimensional DP</t>
        </is>
      </c>
      <c r="I1005" t="inlineStr">
        <is>
          <t>Leetcode</t>
        </is>
      </c>
      <c r="J1005" t="inlineStr">
        <is>
          <t>Problem</t>
        </is>
      </c>
    </row>
    <row r="1006">
      <c r="A1006" t="n">
        <v>501</v>
      </c>
      <c r="B1006" t="inlineStr">
        <is>
          <t>Dice Roll Simulation</t>
        </is>
      </c>
      <c r="C1006">
        <f>HYPERLINK("https://leetcode.com/problems/dice-roll-simulation/","dice-roll-simulation")</f>
        <v/>
      </c>
      <c r="D1006" t="inlineStr">
        <is>
          <t>-</t>
        </is>
      </c>
      <c r="E1006" t="inlineStr">
        <is>
          <t>Medium</t>
        </is>
      </c>
      <c r="F1006" t="n">
        <v>21</v>
      </c>
      <c r="G1006" t="inlineStr">
        <is>
          <t>Dynamic Programming Level 1</t>
        </is>
      </c>
      <c r="H1006" t="inlineStr">
        <is>
          <t>2 Dimensional DP</t>
        </is>
      </c>
      <c r="I1006" t="inlineStr">
        <is>
          <t>Leetcode</t>
        </is>
      </c>
      <c r="J1006" t="inlineStr">
        <is>
          <t>Problem</t>
        </is>
      </c>
    </row>
    <row r="1007">
      <c r="A1007" t="n">
        <v>565</v>
      </c>
      <c r="B1007" t="inlineStr">
        <is>
          <t>Number of Strings Which Can Be Rearranged to Contain Substring</t>
        </is>
      </c>
      <c r="C1007">
        <f>HYPERLINK("https://leetcode.com/problems/number-of-strings-which-can-be-rearranged-to-contain-substring/description/","number-of-strings-which-can-be-rearranged-to-contain-substring")</f>
        <v/>
      </c>
      <c r="D1007" t="inlineStr">
        <is>
          <t>-</t>
        </is>
      </c>
      <c r="E1007" t="inlineStr">
        <is>
          <t>Hard</t>
        </is>
      </c>
      <c r="F1007" t="n">
        <v>21</v>
      </c>
      <c r="G1007" t="inlineStr">
        <is>
          <t>Dynamic Programming Level 1</t>
        </is>
      </c>
      <c r="H1007" t="inlineStr">
        <is>
          <t>2 Dimensional DP</t>
        </is>
      </c>
      <c r="I1007" t="inlineStr">
        <is>
          <t>Leetcode</t>
        </is>
      </c>
      <c r="J1007" t="inlineStr">
        <is>
          <t>Problem</t>
        </is>
      </c>
    </row>
    <row r="1008">
      <c r="A1008" t="n">
        <v>202</v>
      </c>
      <c r="B1008" t="inlineStr">
        <is>
          <t>Frog Jump</t>
        </is>
      </c>
      <c r="C1008">
        <f>HYPERLINK("https://leetcode.com/problems/frog-jump/","frog-jump")</f>
        <v/>
      </c>
      <c r="D1008" t="inlineStr">
        <is>
          <t>-</t>
        </is>
      </c>
      <c r="E1008" t="inlineStr">
        <is>
          <t>Hard</t>
        </is>
      </c>
      <c r="F1008" t="n">
        <v>21</v>
      </c>
      <c r="G1008" t="inlineStr">
        <is>
          <t>Dynamic Programming Level 1</t>
        </is>
      </c>
      <c r="H1008" t="inlineStr">
        <is>
          <t>2 Dimensional DP</t>
        </is>
      </c>
      <c r="I1008" t="inlineStr">
        <is>
          <t>Leetcode</t>
        </is>
      </c>
      <c r="J1008" t="inlineStr">
        <is>
          <t>Problem</t>
        </is>
      </c>
    </row>
    <row r="1009">
      <c r="A1009" t="n">
        <v>48</v>
      </c>
      <c r="B1009" t="inlineStr">
        <is>
          <t>Best Time to Buy and Sell Stock II</t>
        </is>
      </c>
      <c r="C1009">
        <f>HYPERLINK("https://leetcode.com/problems/best-time-to-buy-and-sell-stock-ii/description/","best-time-to-buy-and-sell-stock-ii")</f>
        <v/>
      </c>
      <c r="D1009" t="inlineStr">
        <is>
          <t>-</t>
        </is>
      </c>
      <c r="E1009" t="inlineStr">
        <is>
          <t>Hard</t>
        </is>
      </c>
      <c r="F1009" t="n">
        <v>21</v>
      </c>
      <c r="G1009" t="inlineStr">
        <is>
          <t>Dynamic Programming Level 1</t>
        </is>
      </c>
      <c r="H1009" t="inlineStr">
        <is>
          <t>2 Dimensional DP</t>
        </is>
      </c>
      <c r="I1009" t="inlineStr">
        <is>
          <t>Leetcode</t>
        </is>
      </c>
      <c r="J1009" t="inlineStr">
        <is>
          <t>Problem</t>
        </is>
      </c>
    </row>
    <row r="1010">
      <c r="A1010" t="n">
        <v>49</v>
      </c>
      <c r="B1010" t="inlineStr">
        <is>
          <t>Best Time to Buy and Sell Stock III</t>
        </is>
      </c>
      <c r="C1010">
        <f>HYPERLINK("https://leetcode.com/problems/best-time-to-buy-and-sell-stock-iii/description/","best-time-to-buy-and-sell-stock-iii")</f>
        <v/>
      </c>
      <c r="D1010" t="inlineStr">
        <is>
          <t>-</t>
        </is>
      </c>
      <c r="E1010" t="inlineStr">
        <is>
          <t>Hard</t>
        </is>
      </c>
      <c r="F1010" t="n">
        <v>21</v>
      </c>
      <c r="G1010" t="inlineStr">
        <is>
          <t>Dynamic Programming Level 1</t>
        </is>
      </c>
      <c r="H1010" t="inlineStr">
        <is>
          <t>2 Dimensional DP</t>
        </is>
      </c>
      <c r="I1010" t="inlineStr">
        <is>
          <t>Leetcode</t>
        </is>
      </c>
      <c r="J1010" t="inlineStr">
        <is>
          <t>Problem</t>
        </is>
      </c>
    </row>
    <row r="1011">
      <c r="A1011" t="n">
        <v>443</v>
      </c>
      <c r="B1011" t="inlineStr">
        <is>
          <t>Best Time to Buy and Sell Stock IV</t>
        </is>
      </c>
      <c r="C1011">
        <f>HYPERLINK("https://leetcode.com/problems/best-time-to-buy-and-sell-stock-iv/","best-time-to-buy-and-sell-stock-iv")</f>
        <v/>
      </c>
      <c r="D1011" t="inlineStr">
        <is>
          <t>-</t>
        </is>
      </c>
      <c r="E1011" t="inlineStr">
        <is>
          <t>Hard</t>
        </is>
      </c>
      <c r="F1011" t="n">
        <v>21</v>
      </c>
      <c r="G1011" t="inlineStr">
        <is>
          <t>Dynamic Programming Level 1</t>
        </is>
      </c>
      <c r="H1011" t="inlineStr">
        <is>
          <t>2 Dimensional DP</t>
        </is>
      </c>
      <c r="I1011" t="inlineStr">
        <is>
          <t>Leetcode</t>
        </is>
      </c>
      <c r="J1011" t="inlineStr">
        <is>
          <t>Problem</t>
        </is>
      </c>
    </row>
    <row r="1012">
      <c r="A1012" t="n">
        <v>287</v>
      </c>
      <c r="B1012" t="inlineStr">
        <is>
          <t>Freedom Trail</t>
        </is>
      </c>
      <c r="C1012">
        <f>HYPERLINK("https://leetcode.com/problems/freedom-trail/","freedom-trail")</f>
        <v/>
      </c>
      <c r="D1012" t="inlineStr">
        <is>
          <t>-</t>
        </is>
      </c>
      <c r="E1012" t="inlineStr">
        <is>
          <t>Hard</t>
        </is>
      </c>
      <c r="F1012" t="n">
        <v>21</v>
      </c>
      <c r="G1012" t="inlineStr">
        <is>
          <t>Dynamic Programming Level 1</t>
        </is>
      </c>
      <c r="H1012" t="inlineStr">
        <is>
          <t>2 Dimensional DP</t>
        </is>
      </c>
      <c r="I1012" t="inlineStr">
        <is>
          <t>Leetcode</t>
        </is>
      </c>
      <c r="J1012" t="inlineStr">
        <is>
          <t>Problem</t>
        </is>
      </c>
    </row>
    <row r="1013">
      <c r="A1013" t="n">
        <v>561</v>
      </c>
      <c r="B1013" t="inlineStr">
        <is>
          <t>Number of Music Playlists</t>
        </is>
      </c>
      <c r="C1013">
        <f>HYPERLINK("https://leetcode.com/problems/number-of-music-playlists/","number-of-music-playlists")</f>
        <v/>
      </c>
      <c r="D1013" t="inlineStr">
        <is>
          <t>-</t>
        </is>
      </c>
      <c r="E1013" t="inlineStr">
        <is>
          <t>Hard</t>
        </is>
      </c>
      <c r="F1013" t="n">
        <v>21</v>
      </c>
      <c r="G1013" t="inlineStr">
        <is>
          <t>Dynamic Programming Level 1</t>
        </is>
      </c>
      <c r="H1013" t="inlineStr">
        <is>
          <t>2 Dimensional DP</t>
        </is>
      </c>
      <c r="I1013" t="inlineStr">
        <is>
          <t>Leetcode</t>
        </is>
      </c>
      <c r="J1013" t="inlineStr">
        <is>
          <t>Problem</t>
        </is>
      </c>
    </row>
    <row r="1014">
      <c r="A1014" t="n">
        <v>127</v>
      </c>
      <c r="B1014" t="inlineStr">
        <is>
          <t>Count Vowels Permutation</t>
        </is>
      </c>
      <c r="C1014">
        <f>HYPERLINK("https://leetcode.com/problems/count-vowels-permutation/","count-vowels-permutation")</f>
        <v/>
      </c>
      <c r="D1014" t="inlineStr">
        <is>
          <t>-</t>
        </is>
      </c>
      <c r="E1014" t="inlineStr">
        <is>
          <t>Hard</t>
        </is>
      </c>
      <c r="F1014" t="n">
        <v>21</v>
      </c>
      <c r="G1014" t="inlineStr">
        <is>
          <t>Dynamic Programming Level 1</t>
        </is>
      </c>
      <c r="H1014" t="inlineStr">
        <is>
          <t>2 Dimensional DP</t>
        </is>
      </c>
      <c r="I1014" t="inlineStr">
        <is>
          <t>Leetcode</t>
        </is>
      </c>
      <c r="J1014" t="inlineStr">
        <is>
          <t>Problem</t>
        </is>
      </c>
    </row>
    <row r="1015">
      <c r="A1015" t="n">
        <v>51</v>
      </c>
      <c r="B1015" t="inlineStr">
        <is>
          <t>Best Time to Buy and Sell Stock with Transaction Fee</t>
        </is>
      </c>
      <c r="C1015">
        <f>HYPERLINK("https://leetcode.com/problems/best-time-to-buy-and-sell-stock-with-transaction-fee/","best-time-to-buy-and-sell-stock-with-transaction-fee")</f>
        <v/>
      </c>
      <c r="D1015" t="inlineStr">
        <is>
          <t>-</t>
        </is>
      </c>
      <c r="E1015" t="inlineStr">
        <is>
          <t>Medium</t>
        </is>
      </c>
      <c r="F1015" t="n">
        <v>21</v>
      </c>
      <c r="G1015" t="inlineStr">
        <is>
          <t>Dynamic Programming Level 1</t>
        </is>
      </c>
      <c r="H1015" t="inlineStr">
        <is>
          <t>2 Dimensional DP</t>
        </is>
      </c>
      <c r="I1015" t="inlineStr">
        <is>
          <t>Leetcode</t>
        </is>
      </c>
      <c r="J1015" t="inlineStr">
        <is>
          <t>Problem</t>
        </is>
      </c>
    </row>
    <row r="1016">
      <c r="A1016" t="n">
        <v>387</v>
      </c>
      <c r="B1016" t="inlineStr">
        <is>
          <t>Minimum Distance to Type a Word Using Two Fingers</t>
        </is>
      </c>
      <c r="C1016">
        <f>HYPERLINK("https://leetcode.com/problems/minimum-distance-to-type-a-word-using-two-fingers/","minimum-distance-to-type-a-word-using-two-fingers")</f>
        <v/>
      </c>
      <c r="D1016" t="inlineStr">
        <is>
          <t>-</t>
        </is>
      </c>
      <c r="E1016" t="inlineStr">
        <is>
          <t>Hard</t>
        </is>
      </c>
      <c r="F1016" t="n">
        <v>21</v>
      </c>
      <c r="G1016" t="inlineStr">
        <is>
          <t>Dynamic Programming Level 1</t>
        </is>
      </c>
      <c r="H1016" t="inlineStr">
        <is>
          <t>2 Dimensional DP</t>
        </is>
      </c>
      <c r="I1016" t="inlineStr">
        <is>
          <t>Leetcode</t>
        </is>
      </c>
      <c r="J1016" t="inlineStr">
        <is>
          <t>Problem</t>
        </is>
      </c>
    </row>
    <row r="1017">
      <c r="A1017" t="n">
        <v>520</v>
      </c>
      <c r="B1017" t="inlineStr">
        <is>
          <t>Minimum Difficulty of a Job Schedule</t>
        </is>
      </c>
      <c r="C1017">
        <f>HYPERLINK("https://leetcode.com/problems/minimum-difficulty-of-a-job-schedule/","minimum-difficulty-of-a-job-schedule")</f>
        <v/>
      </c>
      <c r="D1017" t="inlineStr">
        <is>
          <t>-</t>
        </is>
      </c>
      <c r="E1017" t="inlineStr">
        <is>
          <t>Hard</t>
        </is>
      </c>
      <c r="F1017" t="n">
        <v>21</v>
      </c>
      <c r="G1017" t="inlineStr">
        <is>
          <t>Dynamic Programming Level 1</t>
        </is>
      </c>
      <c r="H1017" t="inlineStr">
        <is>
          <t>2 Dimensional DP</t>
        </is>
      </c>
      <c r="I1017" t="inlineStr">
        <is>
          <t>Leetcode</t>
        </is>
      </c>
      <c r="J1017" t="inlineStr">
        <is>
          <t>Problem</t>
        </is>
      </c>
    </row>
    <row r="1018">
      <c r="A1018" t="n">
        <v>50</v>
      </c>
      <c r="B1018" t="inlineStr">
        <is>
          <t>Best Time to Buy and Sell Stock with Cooldown</t>
        </is>
      </c>
      <c r="C1018">
        <f>HYPERLINK("https://leetcode.com/problems/best-time-to-buy-and-sell-stock-with-cooldown/","best-time-to-buy-and-sell-stock-with-cooldown")</f>
        <v/>
      </c>
      <c r="D1018" t="inlineStr">
        <is>
          <t>-</t>
        </is>
      </c>
      <c r="E1018" t="inlineStr">
        <is>
          <t>Medium</t>
        </is>
      </c>
      <c r="F1018" t="n">
        <v>21</v>
      </c>
      <c r="G1018" t="inlineStr">
        <is>
          <t>Dynamic Programming Level 1</t>
        </is>
      </c>
      <c r="H1018" t="inlineStr">
        <is>
          <t>2 Dimensional DP</t>
        </is>
      </c>
      <c r="I1018" t="inlineStr">
        <is>
          <t>Leetcode</t>
        </is>
      </c>
      <c r="J1018" t="inlineStr">
        <is>
          <t>Problem</t>
        </is>
      </c>
    </row>
    <row r="1019">
      <c r="A1019" t="n">
        <v>574</v>
      </c>
      <c r="B1019" t="inlineStr">
        <is>
          <t>Number of Ways to Paint N × 3 Grid</t>
        </is>
      </c>
      <c r="C1019">
        <f>HYPERLINK("https://leetcode.com/problems/number-of-ways-to-paint-n-3-grid/","number-of-ways-to-paint-n-3-grid")</f>
        <v/>
      </c>
      <c r="D1019" t="inlineStr">
        <is>
          <t>-</t>
        </is>
      </c>
      <c r="E1019" t="inlineStr">
        <is>
          <t>Hard</t>
        </is>
      </c>
      <c r="F1019" t="n">
        <v>21</v>
      </c>
      <c r="G1019" t="inlineStr">
        <is>
          <t>Dynamic Programming Level 1</t>
        </is>
      </c>
      <c r="H1019" t="inlineStr">
        <is>
          <t>2 Dimensional DP</t>
        </is>
      </c>
      <c r="I1019" t="inlineStr">
        <is>
          <t>Leetcode</t>
        </is>
      </c>
      <c r="J1019" t="inlineStr">
        <is>
          <t>Problem</t>
        </is>
      </c>
    </row>
    <row r="1020">
      <c r="A1020" t="n">
        <v>64</v>
      </c>
      <c r="B1020" t="inlineStr">
        <is>
          <t>Build Array Where You Can Find The Maximum Exactly K Comparisons</t>
        </is>
      </c>
      <c r="C1020">
        <f>HYPERLINK("https://leetcode.com/problems/build-array-where-you-can-find-the-maximum-exactly-k-comparisons/","build-array-where-you-can-find-the-maximum-exactly-k-comparisons")</f>
        <v/>
      </c>
      <c r="D1020" t="inlineStr">
        <is>
          <t>-</t>
        </is>
      </c>
      <c r="E1020" t="inlineStr">
        <is>
          <t>Hard</t>
        </is>
      </c>
      <c r="F1020" t="n">
        <v>21</v>
      </c>
      <c r="G1020" t="inlineStr">
        <is>
          <t>Dynamic Programming Level 1</t>
        </is>
      </c>
      <c r="H1020" t="inlineStr">
        <is>
          <t>2 Dimensional DP</t>
        </is>
      </c>
      <c r="I1020" t="inlineStr">
        <is>
          <t>Leetcode</t>
        </is>
      </c>
      <c r="J1020" t="inlineStr">
        <is>
          <t>Problem</t>
        </is>
      </c>
    </row>
    <row r="1021">
      <c r="A1021" t="n">
        <v>572</v>
      </c>
      <c r="B1021" t="inlineStr">
        <is>
          <t>Number of Ways of Cutting a Pizza</t>
        </is>
      </c>
      <c r="C1021">
        <f>HYPERLINK("https://leetcode.com/problems/number-of-ways-of-cutting-a-pizza/","number-of-ways-of-cutting-a-pizza")</f>
        <v/>
      </c>
      <c r="D1021" t="inlineStr">
        <is>
          <t>-</t>
        </is>
      </c>
      <c r="E1021" t="inlineStr">
        <is>
          <t>Hard</t>
        </is>
      </c>
      <c r="F1021" t="n">
        <v>21</v>
      </c>
      <c r="G1021" t="inlineStr">
        <is>
          <t>Dynamic Programming Level 1</t>
        </is>
      </c>
      <c r="H1021" t="inlineStr">
        <is>
          <t>2 Dimensional DP</t>
        </is>
      </c>
      <c r="I1021" t="inlineStr">
        <is>
          <t>Leetcode</t>
        </is>
      </c>
      <c r="J1021" t="inlineStr">
        <is>
          <t>Problem</t>
        </is>
      </c>
    </row>
    <row r="1022">
      <c r="A1022" t="n">
        <v>583</v>
      </c>
      <c r="B1022" t="inlineStr">
        <is>
          <t>Paint House III</t>
        </is>
      </c>
      <c r="C1022">
        <f>HYPERLINK("https://leetcode.com/problems/paint-house-iii/","paint-house-iii")</f>
        <v/>
      </c>
      <c r="D1022" t="inlineStr">
        <is>
          <t>-</t>
        </is>
      </c>
      <c r="E1022" t="inlineStr">
        <is>
          <t>Hard</t>
        </is>
      </c>
      <c r="F1022" t="n">
        <v>21</v>
      </c>
      <c r="G1022" t="inlineStr">
        <is>
          <t>Dynamic Programming Level 1</t>
        </is>
      </c>
      <c r="H1022" t="inlineStr">
        <is>
          <t>2 Dimensional DP</t>
        </is>
      </c>
      <c r="I1022" t="inlineStr">
        <is>
          <t>Leetcode</t>
        </is>
      </c>
      <c r="J1022" t="inlineStr">
        <is>
          <t>Problem</t>
        </is>
      </c>
    </row>
    <row r="1023">
      <c r="A1023" t="n">
        <v>433</v>
      </c>
      <c r="B1023" t="inlineStr">
        <is>
          <t>Count All Possible Routes</t>
        </is>
      </c>
      <c r="C1023">
        <f>HYPERLINK("https://leetcode.com/problems/count-all-possible-routes/","count-all-possible-routes")</f>
        <v/>
      </c>
      <c r="D1023" t="inlineStr">
        <is>
          <t>-</t>
        </is>
      </c>
      <c r="E1023" t="inlineStr">
        <is>
          <t>Hard</t>
        </is>
      </c>
      <c r="F1023" t="n">
        <v>21</v>
      </c>
      <c r="G1023" t="inlineStr">
        <is>
          <t>Dynamic Programming Level 1</t>
        </is>
      </c>
      <c r="H1023" t="inlineStr">
        <is>
          <t>2 Dimensional DP</t>
        </is>
      </c>
      <c r="I1023" t="inlineStr">
        <is>
          <t>Leetcode</t>
        </is>
      </c>
      <c r="J1023" t="inlineStr">
        <is>
          <t>Problem</t>
        </is>
      </c>
    </row>
    <row r="1024">
      <c r="A1024" t="n">
        <v>1477</v>
      </c>
      <c r="B1024" t="inlineStr">
        <is>
          <t>Geek's Training</t>
        </is>
      </c>
      <c r="C1024">
        <f>HYPERLINK("https://www.geeksforgeeks.org/problems/geeks-training/1","Solve Problem")</f>
        <v/>
      </c>
      <c r="D1024" t="inlineStr">
        <is>
          <t>-</t>
        </is>
      </c>
      <c r="E1024" t="inlineStr">
        <is>
          <t>Medium</t>
        </is>
      </c>
      <c r="F1024" t="n">
        <v>21</v>
      </c>
      <c r="G1024" t="inlineStr">
        <is>
          <t>Dynamic Programming Level 1</t>
        </is>
      </c>
      <c r="H1024" t="inlineStr">
        <is>
          <t>DP On Grid</t>
        </is>
      </c>
      <c r="I1024" t="inlineStr">
        <is>
          <t>Geeksforgeeks</t>
        </is>
      </c>
      <c r="J1024" t="inlineStr">
        <is>
          <t>Problem</t>
        </is>
      </c>
    </row>
    <row r="1025">
      <c r="A1025" t="n">
        <v>760</v>
      </c>
      <c r="B1025" t="inlineStr">
        <is>
          <t>Unique Paths</t>
        </is>
      </c>
      <c r="C1025">
        <f>HYPERLINK("https://leetcode.com/problems/unique-paths/","unique-paths")</f>
        <v/>
      </c>
      <c r="D1025" t="inlineStr">
        <is>
          <t>-</t>
        </is>
      </c>
      <c r="E1025" t="inlineStr">
        <is>
          <t>Medium</t>
        </is>
      </c>
      <c r="F1025" t="n">
        <v>21</v>
      </c>
      <c r="G1025" t="inlineStr">
        <is>
          <t>Dynamic Programming Level 1</t>
        </is>
      </c>
      <c r="H1025" t="inlineStr">
        <is>
          <t>DP On Grid</t>
        </is>
      </c>
      <c r="I1025" t="inlineStr">
        <is>
          <t>Leetcode</t>
        </is>
      </c>
      <c r="J1025" t="inlineStr">
        <is>
          <t>Problem</t>
        </is>
      </c>
    </row>
    <row r="1026">
      <c r="A1026" t="n">
        <v>761</v>
      </c>
      <c r="B1026" t="inlineStr">
        <is>
          <t>Unique Paths II</t>
        </is>
      </c>
      <c r="C1026">
        <f>HYPERLINK("https://leetcode.com/problems/unique-paths-ii/","unique-paths-ii")</f>
        <v/>
      </c>
      <c r="D1026" t="inlineStr">
        <is>
          <t>-</t>
        </is>
      </c>
      <c r="E1026" t="inlineStr">
        <is>
          <t>Medium</t>
        </is>
      </c>
      <c r="F1026" t="n">
        <v>21</v>
      </c>
      <c r="G1026" t="inlineStr">
        <is>
          <t>Dynamic Programming Level 1</t>
        </is>
      </c>
      <c r="H1026" t="inlineStr">
        <is>
          <t>DP On Grid</t>
        </is>
      </c>
      <c r="I1026" t="inlineStr">
        <is>
          <t>Leetcode</t>
        </is>
      </c>
      <c r="J1026" t="inlineStr">
        <is>
          <t>Problem</t>
        </is>
      </c>
    </row>
    <row r="1027">
      <c r="A1027" t="n">
        <v>410</v>
      </c>
      <c r="B1027" t="inlineStr">
        <is>
          <t>Minimum Path Sum</t>
        </is>
      </c>
      <c r="C1027">
        <f>HYPERLINK("https://leetcode.com/problems/minimum-path-sum/","minimum-path-sum")</f>
        <v/>
      </c>
      <c r="D1027" t="inlineStr">
        <is>
          <t>-</t>
        </is>
      </c>
      <c r="E1027" t="inlineStr">
        <is>
          <t>Medium</t>
        </is>
      </c>
      <c r="F1027" t="n">
        <v>21</v>
      </c>
      <c r="G1027" t="inlineStr">
        <is>
          <t>Dynamic Programming Level 1</t>
        </is>
      </c>
      <c r="H1027" t="inlineStr">
        <is>
          <t>DP On Grid</t>
        </is>
      </c>
      <c r="I1027" t="inlineStr">
        <is>
          <t>Leetcode</t>
        </is>
      </c>
      <c r="J1027" t="inlineStr">
        <is>
          <t>Problem</t>
        </is>
      </c>
    </row>
    <row r="1028">
      <c r="A1028" t="n">
        <v>326</v>
      </c>
      <c r="B1028" t="inlineStr">
        <is>
          <t>Maximum Non Negative Product in a Matrix</t>
        </is>
      </c>
      <c r="C1028">
        <f>HYPERLINK("https://leetcode.com/problems/maximum-non-negative-product-in-a-matrix/","maximum-non-negative-product-in-a-matrix")</f>
        <v/>
      </c>
      <c r="D1028" t="inlineStr">
        <is>
          <t>-</t>
        </is>
      </c>
      <c r="E1028" t="inlineStr">
        <is>
          <t>Medium</t>
        </is>
      </c>
      <c r="F1028" t="n">
        <v>21</v>
      </c>
      <c r="G1028" t="inlineStr">
        <is>
          <t>Dynamic Programming Level 1</t>
        </is>
      </c>
      <c r="H1028" t="inlineStr">
        <is>
          <t>DP On Grid</t>
        </is>
      </c>
      <c r="I1028" t="inlineStr">
        <is>
          <t>Leetcode</t>
        </is>
      </c>
      <c r="J1028" t="inlineStr">
        <is>
          <t>Problem</t>
        </is>
      </c>
    </row>
    <row r="1029">
      <c r="A1029" t="n">
        <v>317</v>
      </c>
      <c r="B1029" t="inlineStr">
        <is>
          <t>Maximum Difference Score in a Grid</t>
        </is>
      </c>
      <c r="C1029">
        <f>HYPERLINK("https://leetcode.com/problems/maximum-difference-score-in-a-grid/description/","maximum-difference-score-in-a-grid")</f>
        <v/>
      </c>
      <c r="D1029" t="inlineStr">
        <is>
          <t>-</t>
        </is>
      </c>
      <c r="E1029" t="inlineStr">
        <is>
          <t>Medium</t>
        </is>
      </c>
      <c r="F1029" t="n">
        <v>21</v>
      </c>
      <c r="G1029" t="inlineStr">
        <is>
          <t>Dynamic Programming Level 1</t>
        </is>
      </c>
      <c r="H1029" t="inlineStr">
        <is>
          <t>DP On Grid</t>
        </is>
      </c>
      <c r="I1029" t="inlineStr">
        <is>
          <t>Leetcode</t>
        </is>
      </c>
      <c r="J1029" t="inlineStr">
        <is>
          <t>Problem</t>
        </is>
      </c>
    </row>
    <row r="1030">
      <c r="A1030" t="n">
        <v>796</v>
      </c>
      <c r="B1030" t="inlineStr">
        <is>
          <t>Minimum Number of Operations to Satisfy Conditions</t>
        </is>
      </c>
      <c r="C1030">
        <f>HYPERLINK("https://leetcode.com/problems/minimum-number-of-operations-to-satisfy-conditions/description/","minimum-number-of-operations-to-satisfy-conditions")</f>
        <v/>
      </c>
      <c r="D1030" t="inlineStr">
        <is>
          <t>-</t>
        </is>
      </c>
      <c r="E1030" t="inlineStr">
        <is>
          <t>Medium</t>
        </is>
      </c>
      <c r="F1030" t="n">
        <v>21</v>
      </c>
      <c r="G1030" t="inlineStr">
        <is>
          <t>Dynamic Programming Level 1</t>
        </is>
      </c>
      <c r="H1030" t="inlineStr">
        <is>
          <t>DP On Grid</t>
        </is>
      </c>
      <c r="I1030" t="inlineStr">
        <is>
          <t>Leetcode</t>
        </is>
      </c>
      <c r="J1030" t="inlineStr">
        <is>
          <t>Problem</t>
        </is>
      </c>
    </row>
    <row r="1031">
      <c r="A1031" t="n">
        <v>329</v>
      </c>
      <c r="B1031" t="inlineStr">
        <is>
          <t>Maximum Number of Moves in a Grid</t>
        </is>
      </c>
      <c r="C1031">
        <f>HYPERLINK("https://leetcode.com/problems/maximum-number-of-moves-in-a-grid/description/","maximum-number-of-moves-in-a-grid")</f>
        <v/>
      </c>
      <c r="D1031" t="inlineStr">
        <is>
          <t>-</t>
        </is>
      </c>
      <c r="E1031" t="inlineStr">
        <is>
          <t>Medium</t>
        </is>
      </c>
      <c r="F1031" t="n">
        <v>21</v>
      </c>
      <c r="G1031" t="inlineStr">
        <is>
          <t>Dynamic Programming Level 1</t>
        </is>
      </c>
      <c r="H1031" t="inlineStr">
        <is>
          <t>DP On Grid</t>
        </is>
      </c>
      <c r="I1031" t="inlineStr">
        <is>
          <t>Leetcode</t>
        </is>
      </c>
      <c r="J1031" t="inlineStr">
        <is>
          <t>Problem</t>
        </is>
      </c>
    </row>
    <row r="1032">
      <c r="A1032" t="n">
        <v>777</v>
      </c>
      <c r="B1032" t="inlineStr">
        <is>
          <t>Where Will the Ball Fall</t>
        </is>
      </c>
      <c r="C1032">
        <f>HYPERLINK("https://leetcode.com/problems/where-will-the-ball-fall","where-will-the-ball-fall")</f>
        <v/>
      </c>
      <c r="D1032" t="inlineStr">
        <is>
          <t>-</t>
        </is>
      </c>
      <c r="E1032" t="inlineStr">
        <is>
          <t>Medium</t>
        </is>
      </c>
      <c r="F1032" t="n">
        <v>21</v>
      </c>
      <c r="G1032" t="inlineStr">
        <is>
          <t>Dynamic Programming Level 1</t>
        </is>
      </c>
      <c r="H1032" t="inlineStr">
        <is>
          <t>DP On Grid</t>
        </is>
      </c>
      <c r="I1032" t="inlineStr">
        <is>
          <t>Leetcode</t>
        </is>
      </c>
      <c r="J1032" t="inlineStr">
        <is>
          <t>Problem</t>
        </is>
      </c>
    </row>
    <row r="1033">
      <c r="A1033" t="n">
        <v>152</v>
      </c>
      <c r="B1033" t="inlineStr">
        <is>
          <t>Dungeon Game</t>
        </is>
      </c>
      <c r="C1033">
        <f>HYPERLINK("https://leetcode.com/problems/dungeon-game/","dungeon-game")</f>
        <v/>
      </c>
      <c r="D1033" t="inlineStr">
        <is>
          <t>-</t>
        </is>
      </c>
      <c r="E1033" t="inlineStr">
        <is>
          <t>Hard</t>
        </is>
      </c>
      <c r="F1033" t="n">
        <v>21</v>
      </c>
      <c r="G1033" t="inlineStr">
        <is>
          <t>Dynamic Programming Level 1</t>
        </is>
      </c>
      <c r="H1033" t="inlineStr">
        <is>
          <t>DP On Grid</t>
        </is>
      </c>
      <c r="I1033" t="inlineStr">
        <is>
          <t>Leetcode</t>
        </is>
      </c>
      <c r="J1033" t="inlineStr">
        <is>
          <t>Problem</t>
        </is>
      </c>
    </row>
    <row r="1034">
      <c r="A1034" t="n">
        <v>76</v>
      </c>
      <c r="B1034" t="inlineStr">
        <is>
          <t>Cherry Pickup</t>
        </is>
      </c>
      <c r="C1034">
        <f>HYPERLINK("https://leetcode.com/problems/cherry-pickup/","cherry-pickup")</f>
        <v/>
      </c>
      <c r="D1034" t="inlineStr">
        <is>
          <t>-</t>
        </is>
      </c>
      <c r="E1034" t="inlineStr">
        <is>
          <t>Hard</t>
        </is>
      </c>
      <c r="F1034" t="n">
        <v>21</v>
      </c>
      <c r="G1034" t="inlineStr">
        <is>
          <t>Dynamic Programming Level 1</t>
        </is>
      </c>
      <c r="H1034" t="inlineStr">
        <is>
          <t>DP On Grid</t>
        </is>
      </c>
      <c r="I1034" t="inlineStr">
        <is>
          <t>Leetcode</t>
        </is>
      </c>
      <c r="J1034" t="inlineStr">
        <is>
          <t>Problem</t>
        </is>
      </c>
    </row>
    <row r="1035">
      <c r="A1035" t="n">
        <v>563</v>
      </c>
      <c r="B1035" t="inlineStr">
        <is>
          <t>Number of Paths with Max Score</t>
        </is>
      </c>
      <c r="C1035">
        <f>HYPERLINK("https://leetcode.com/problems/number-of-paths-with-max-score/","number-of-paths-with-max-score")</f>
        <v/>
      </c>
      <c r="D1035" t="inlineStr">
        <is>
          <t>-</t>
        </is>
      </c>
      <c r="E1035" t="inlineStr">
        <is>
          <t>Hard</t>
        </is>
      </c>
      <c r="F1035" t="n">
        <v>21</v>
      </c>
      <c r="G1035" t="inlineStr">
        <is>
          <t>Dynamic Programming Level 1</t>
        </is>
      </c>
      <c r="H1035" t="inlineStr">
        <is>
          <t>DP On Grid</t>
        </is>
      </c>
      <c r="I1035" t="inlineStr">
        <is>
          <t>Leetcode</t>
        </is>
      </c>
      <c r="J1035" t="inlineStr">
        <is>
          <t>Problem</t>
        </is>
      </c>
    </row>
    <row r="1036">
      <c r="A1036" t="n">
        <v>77</v>
      </c>
      <c r="B1036" t="inlineStr">
        <is>
          <t>Cherry Pickup II</t>
        </is>
      </c>
      <c r="C1036">
        <f>HYPERLINK("https://leetcode.com/problems/cherry-pickup-ii/","cherry-pickup-ii")</f>
        <v/>
      </c>
      <c r="D1036" t="inlineStr">
        <is>
          <t>-</t>
        </is>
      </c>
      <c r="E1036" t="inlineStr">
        <is>
          <t>Hard</t>
        </is>
      </c>
      <c r="F1036" t="n">
        <v>21</v>
      </c>
      <c r="G1036" t="inlineStr">
        <is>
          <t>Dynamic Programming Level 1</t>
        </is>
      </c>
      <c r="H1036" t="inlineStr">
        <is>
          <t>DP On Grid</t>
        </is>
      </c>
      <c r="I1036" t="inlineStr">
        <is>
          <t>Leetcode</t>
        </is>
      </c>
      <c r="J1036" t="inlineStr">
        <is>
          <t>Problem</t>
        </is>
      </c>
    </row>
    <row r="1037">
      <c r="A1037" t="n">
        <v>388</v>
      </c>
      <c r="B1037" t="inlineStr">
        <is>
          <t>Minimum Falling Path Sum II</t>
        </is>
      </c>
      <c r="C1037">
        <f>HYPERLINK("https://leetcode.com/problems/minimum-falling-path-sum-ii/","minimum-falling-path-sum-ii")</f>
        <v/>
      </c>
      <c r="D1037" t="inlineStr">
        <is>
          <t>-</t>
        </is>
      </c>
      <c r="E1037" t="inlineStr">
        <is>
          <t>Hard</t>
        </is>
      </c>
      <c r="F1037" t="n">
        <v>21</v>
      </c>
      <c r="G1037" t="inlineStr">
        <is>
          <t>Dynamic Programming Level 1</t>
        </is>
      </c>
      <c r="H1037" t="inlineStr">
        <is>
          <t>DP On Grid</t>
        </is>
      </c>
      <c r="I1037" t="inlineStr">
        <is>
          <t>Leetcode</t>
        </is>
      </c>
      <c r="J1037" t="inlineStr">
        <is>
          <t>Problem</t>
        </is>
      </c>
    </row>
    <row r="1038">
      <c r="A1038" t="n">
        <v>877</v>
      </c>
      <c r="B1038" t="inlineStr">
        <is>
          <t>Out of Boundary Paths</t>
        </is>
      </c>
      <c r="C1038">
        <f>HYPERLINK("https://leetcode.com/problems/out-of-boundary-paths/","out-of-boundary-paths")</f>
        <v/>
      </c>
      <c r="D1038" t="inlineStr">
        <is>
          <t>-</t>
        </is>
      </c>
      <c r="E1038" t="inlineStr">
        <is>
          <t>Medium</t>
        </is>
      </c>
      <c r="F1038" t="n">
        <v>21</v>
      </c>
      <c r="G1038" t="inlineStr">
        <is>
          <t>Dynamic Programming Level 1</t>
        </is>
      </c>
      <c r="H1038" t="inlineStr">
        <is>
          <t>DP On Grid</t>
        </is>
      </c>
      <c r="I1038" t="inlineStr">
        <is>
          <t>Leetcode</t>
        </is>
      </c>
      <c r="J1038" t="inlineStr">
        <is>
          <t>Problem</t>
        </is>
      </c>
    </row>
    <row r="1039">
      <c r="A1039" t="n">
        <v>521</v>
      </c>
      <c r="B1039" t="inlineStr">
        <is>
          <t>Minimum Falling Path Sum</t>
        </is>
      </c>
      <c r="C1039">
        <f>HYPERLINK("https://leetcode.com/problems/minimum-falling-path-sum/","minimum-falling-path-sum")</f>
        <v/>
      </c>
      <c r="D1039" t="inlineStr">
        <is>
          <t>-</t>
        </is>
      </c>
      <c r="E1039" t="inlineStr">
        <is>
          <t>Medium</t>
        </is>
      </c>
      <c r="F1039" t="n">
        <v>21</v>
      </c>
      <c r="G1039" t="inlineStr">
        <is>
          <t>Dynamic Programming Level 1</t>
        </is>
      </c>
      <c r="H1039" t="inlineStr">
        <is>
          <t>DP On Grid</t>
        </is>
      </c>
      <c r="I1039" t="inlineStr">
        <is>
          <t>Leetcode</t>
        </is>
      </c>
      <c r="J1039" t="inlineStr">
        <is>
          <t>Problem</t>
        </is>
      </c>
    </row>
    <row r="1040">
      <c r="A1040" t="n">
        <v>1383</v>
      </c>
      <c r="B1040" t="inlineStr">
        <is>
          <t>Knapsack - 1</t>
        </is>
      </c>
      <c r="C1040">
        <f>HYPERLINK("https://atcoder.jp/contests/dp/tasks/dp_d","Solve Problem")</f>
        <v/>
      </c>
      <c r="D1040" t="inlineStr">
        <is>
          <t>-</t>
        </is>
      </c>
      <c r="E1040" t="inlineStr">
        <is>
          <t>Medium</t>
        </is>
      </c>
      <c r="F1040" t="n">
        <v>21</v>
      </c>
      <c r="G1040" t="inlineStr">
        <is>
          <t>Dynamic Programming Level 1</t>
        </is>
      </c>
      <c r="H1040" t="inlineStr">
        <is>
          <t>Knapsack DP</t>
        </is>
      </c>
      <c r="I1040" t="inlineStr">
        <is>
          <t>Atcoder</t>
        </is>
      </c>
      <c r="J1040" t="inlineStr">
        <is>
          <t>Problem</t>
        </is>
      </c>
    </row>
    <row r="1041">
      <c r="A1041" t="n">
        <v>1378</v>
      </c>
      <c r="B1041" t="inlineStr">
        <is>
          <t>Knapsack - 2</t>
        </is>
      </c>
      <c r="C1041">
        <f>HYPERLINK("https://atcoder.jp/contests/dp/tasks/dp_e","Solve Problem")</f>
        <v/>
      </c>
      <c r="D1041" t="inlineStr">
        <is>
          <t>-</t>
        </is>
      </c>
      <c r="E1041" t="inlineStr">
        <is>
          <t>Medium</t>
        </is>
      </c>
      <c r="F1041" t="n">
        <v>21</v>
      </c>
      <c r="G1041" t="inlineStr">
        <is>
          <t>Dynamic Programming Level 1</t>
        </is>
      </c>
      <c r="H1041" t="inlineStr">
        <is>
          <t>Knapsack DP</t>
        </is>
      </c>
      <c r="I1041" t="inlineStr">
        <is>
          <t>Atcoder</t>
        </is>
      </c>
      <c r="J1041" t="inlineStr">
        <is>
          <t>Problem</t>
        </is>
      </c>
    </row>
    <row r="1042">
      <c r="A1042" t="n">
        <v>802</v>
      </c>
      <c r="B1042" t="inlineStr">
        <is>
          <t>Ones and Zeroes</t>
        </is>
      </c>
      <c r="C1042">
        <f>HYPERLINK("https://leetcode.com/problems/ones-and-zeroes/","ones-and-zeroes")</f>
        <v/>
      </c>
      <c r="D1042" t="inlineStr">
        <is>
          <t>-</t>
        </is>
      </c>
      <c r="E1042" t="inlineStr">
        <is>
          <t>Medium</t>
        </is>
      </c>
      <c r="F1042" t="n">
        <v>21</v>
      </c>
      <c r="G1042" t="inlineStr">
        <is>
          <t>Dynamic Programming Level 1</t>
        </is>
      </c>
      <c r="H1042" t="inlineStr">
        <is>
          <t>Knapsack DP</t>
        </is>
      </c>
      <c r="I1042" t="inlineStr">
        <is>
          <t>Leetcode</t>
        </is>
      </c>
      <c r="J1042" t="inlineStr">
        <is>
          <t>Problem</t>
        </is>
      </c>
    </row>
    <row r="1043">
      <c r="A1043" t="n">
        <v>818</v>
      </c>
      <c r="B1043" t="inlineStr">
        <is>
          <t>Target Sum</t>
        </is>
      </c>
      <c r="C1043">
        <f>HYPERLINK("https://leetcode.com/problems/target-sum/","target-sum")</f>
        <v/>
      </c>
      <c r="D1043" t="inlineStr">
        <is>
          <t>-</t>
        </is>
      </c>
      <c r="E1043" t="inlineStr">
        <is>
          <t>Medium</t>
        </is>
      </c>
      <c r="F1043" t="n">
        <v>21</v>
      </c>
      <c r="G1043" t="inlineStr">
        <is>
          <t>Dynamic Programming Level 1</t>
        </is>
      </c>
      <c r="H1043" t="inlineStr">
        <is>
          <t>Knapsack DP</t>
        </is>
      </c>
      <c r="I1043" t="inlineStr">
        <is>
          <t>Leetcode</t>
        </is>
      </c>
      <c r="J1043" t="inlineStr">
        <is>
          <t>Problem</t>
        </is>
      </c>
    </row>
    <row r="1044">
      <c r="A1044" t="n">
        <v>24</v>
      </c>
      <c r="B1044" t="inlineStr">
        <is>
          <t>2 Keys Keyboard</t>
        </is>
      </c>
      <c r="C1044">
        <f>HYPERLINK("https://leetcode.com/problems/2-keys-keyboard/","2-keys-keyboard")</f>
        <v/>
      </c>
      <c r="D1044" t="inlineStr">
        <is>
          <t>-</t>
        </is>
      </c>
      <c r="E1044" t="inlineStr">
        <is>
          <t>Medium</t>
        </is>
      </c>
      <c r="F1044" t="n">
        <v>21</v>
      </c>
      <c r="G1044" t="inlineStr">
        <is>
          <t>Dynamic Programming Level 1</t>
        </is>
      </c>
      <c r="H1044" t="inlineStr">
        <is>
          <t>Knapsack DP</t>
        </is>
      </c>
      <c r="I1044" t="inlineStr">
        <is>
          <t>Leetcode</t>
        </is>
      </c>
      <c r="J1044" t="inlineStr">
        <is>
          <t>Problem</t>
        </is>
      </c>
    </row>
    <row r="1045">
      <c r="A1045" t="n">
        <v>46</v>
      </c>
      <c r="B1045" t="inlineStr">
        <is>
          <t>Best Team With No Conflicts</t>
        </is>
      </c>
      <c r="C1045">
        <f>HYPERLINK("https://leetcode.com/problems/best-team-with-no-conflicts/","best-team-with-no-conflicts")</f>
        <v/>
      </c>
      <c r="D1045" t="inlineStr">
        <is>
          <t>-</t>
        </is>
      </c>
      <c r="E1045" t="inlineStr">
        <is>
          <t>Medium</t>
        </is>
      </c>
      <c r="F1045" t="n">
        <v>21</v>
      </c>
      <c r="G1045" t="inlineStr">
        <is>
          <t>Dynamic Programming Level 1</t>
        </is>
      </c>
      <c r="H1045" t="inlineStr">
        <is>
          <t>Knapsack DP</t>
        </is>
      </c>
      <c r="I1045" t="inlineStr">
        <is>
          <t>Leetcode</t>
        </is>
      </c>
      <c r="J1045" t="inlineStr">
        <is>
          <t>Problem</t>
        </is>
      </c>
    </row>
    <row r="1046">
      <c r="A1046" t="n">
        <v>680</v>
      </c>
      <c r="B1046" t="inlineStr">
        <is>
          <t>Shopping Offers</t>
        </is>
      </c>
      <c r="C1046">
        <f>HYPERLINK("https://leetcode.com/problems/shopping-offers/","shopping-offers")</f>
        <v/>
      </c>
      <c r="D1046" t="inlineStr">
        <is>
          <t>-</t>
        </is>
      </c>
      <c r="E1046" t="inlineStr">
        <is>
          <t>Medium</t>
        </is>
      </c>
      <c r="F1046" t="n">
        <v>21</v>
      </c>
      <c r="G1046" t="inlineStr">
        <is>
          <t>Dynamic Programming Level 1</t>
        </is>
      </c>
      <c r="H1046" t="inlineStr">
        <is>
          <t>Knapsack DP</t>
        </is>
      </c>
      <c r="I1046" t="inlineStr">
        <is>
          <t>Leetcode</t>
        </is>
      </c>
      <c r="J1046" t="inlineStr">
        <is>
          <t>Problem</t>
        </is>
      </c>
    </row>
    <row r="1047">
      <c r="A1047" t="n">
        <v>395</v>
      </c>
      <c r="B1047" t="inlineStr">
        <is>
          <t>Minimum Number of Coins for Fruits</t>
        </is>
      </c>
      <c r="C1047">
        <f>HYPERLINK("https://leetcode.com/problems/minimum-number-of-coins-for-fruits/description/","minimum-number-of-coins-for-fruits")</f>
        <v/>
      </c>
      <c r="D1047" t="inlineStr">
        <is>
          <t>-</t>
        </is>
      </c>
      <c r="E1047" t="inlineStr">
        <is>
          <t>Medium</t>
        </is>
      </c>
      <c r="F1047" t="n">
        <v>21</v>
      </c>
      <c r="G1047" t="inlineStr">
        <is>
          <t>Dynamic Programming Level 1</t>
        </is>
      </c>
      <c r="H1047" t="inlineStr">
        <is>
          <t>Knapsack DP</t>
        </is>
      </c>
      <c r="I1047" t="inlineStr">
        <is>
          <t>Leetcode</t>
        </is>
      </c>
      <c r="J1047" t="inlineStr">
        <is>
          <t>Problem</t>
        </is>
      </c>
    </row>
    <row r="1048">
      <c r="A1048" t="n">
        <v>481</v>
      </c>
      <c r="B1048" t="inlineStr">
        <is>
          <t>Last Stone Weight II</t>
        </is>
      </c>
      <c r="C1048">
        <f>HYPERLINK("https://leetcode.com/problems/last-stone-weight-ii/","last-stone-weight-ii")</f>
        <v/>
      </c>
      <c r="D1048" t="inlineStr">
        <is>
          <t>-</t>
        </is>
      </c>
      <c r="E1048" t="inlineStr">
        <is>
          <t>Medium</t>
        </is>
      </c>
      <c r="F1048" t="n">
        <v>21</v>
      </c>
      <c r="G1048" t="inlineStr">
        <is>
          <t>Dynamic Programming Level 1</t>
        </is>
      </c>
      <c r="H1048" t="inlineStr">
        <is>
          <t>Knapsack DP</t>
        </is>
      </c>
      <c r="I1048" t="inlineStr">
        <is>
          <t>Leetcode</t>
        </is>
      </c>
      <c r="J1048" t="inlineStr">
        <is>
          <t>Problem</t>
        </is>
      </c>
    </row>
    <row r="1049">
      <c r="A1049" t="n">
        <v>1519</v>
      </c>
      <c r="B1049" t="inlineStr">
        <is>
          <t>Rod Cutting</t>
        </is>
      </c>
      <c r="C1049">
        <f>HYPERLINK("https://www.geeksforgeeks.org/problems/rod-cutting0840/1","Solve Problem")</f>
        <v/>
      </c>
      <c r="D1049" t="inlineStr">
        <is>
          <t>-</t>
        </is>
      </c>
      <c r="E1049" t="inlineStr">
        <is>
          <t>Medium</t>
        </is>
      </c>
      <c r="F1049" t="n">
        <v>21</v>
      </c>
      <c r="G1049" t="inlineStr">
        <is>
          <t>Dynamic Programming Level 1</t>
        </is>
      </c>
      <c r="H1049" t="inlineStr">
        <is>
          <t>Knapsack DP</t>
        </is>
      </c>
      <c r="I1049" t="inlineStr">
        <is>
          <t>Geeksforgeeks</t>
        </is>
      </c>
      <c r="J1049" t="inlineStr">
        <is>
          <t>Problem</t>
        </is>
      </c>
    </row>
    <row r="1050">
      <c r="A1050" t="n">
        <v>282</v>
      </c>
      <c r="B1050" t="inlineStr">
        <is>
          <t>Filling Bookcase Shelves</t>
        </is>
      </c>
      <c r="C1050">
        <f>HYPERLINK("https://leetcode.com/problems/filling-bookcase-shelves/description/","filling-bookcase-shelves")</f>
        <v/>
      </c>
      <c r="D1050" t="inlineStr">
        <is>
          <t>-</t>
        </is>
      </c>
      <c r="E1050" t="inlineStr">
        <is>
          <t>Medium</t>
        </is>
      </c>
      <c r="F1050" t="n">
        <v>21</v>
      </c>
      <c r="G1050" t="inlineStr">
        <is>
          <t>Dynamic Programming Level 1</t>
        </is>
      </c>
      <c r="H1050" t="inlineStr">
        <is>
          <t>Knapsack DP</t>
        </is>
      </c>
      <c r="I1050" t="inlineStr">
        <is>
          <t>Leetcode</t>
        </is>
      </c>
      <c r="J1050" t="inlineStr">
        <is>
          <t>Problem</t>
        </is>
      </c>
    </row>
    <row r="1051">
      <c r="A1051" t="n">
        <v>773</v>
      </c>
      <c r="B1051" t="inlineStr">
        <is>
          <t>Video Stitching</t>
        </is>
      </c>
      <c r="C1051">
        <f>HYPERLINK("https://leetcode.com/problems/video-stitching/","video-stitching")</f>
        <v/>
      </c>
      <c r="D1051" t="inlineStr">
        <is>
          <t>-</t>
        </is>
      </c>
      <c r="E1051" t="inlineStr">
        <is>
          <t>Medium</t>
        </is>
      </c>
      <c r="F1051" t="n">
        <v>21</v>
      </c>
      <c r="G1051" t="inlineStr">
        <is>
          <t>Dynamic Programming Level 1</t>
        </is>
      </c>
      <c r="H1051" t="inlineStr">
        <is>
          <t>Knapsack DP</t>
        </is>
      </c>
      <c r="I1051" t="inlineStr">
        <is>
          <t>Leetcode</t>
        </is>
      </c>
      <c r="J1051" t="inlineStr">
        <is>
          <t>Problem</t>
        </is>
      </c>
    </row>
    <row r="1052">
      <c r="A1052" t="n">
        <v>310</v>
      </c>
      <c r="B1052" t="inlineStr">
        <is>
          <t>Maximize Total Cost of Alternating Subarrays</t>
        </is>
      </c>
      <c r="C1052">
        <f>HYPERLINK("https://leetcode.com/problems/maximize-total-cost-of-alternating-subarrays/description/","maximize-total-cost-of-alternating-subarrays")</f>
        <v/>
      </c>
      <c r="D1052" t="inlineStr">
        <is>
          <t>-</t>
        </is>
      </c>
      <c r="E1052" t="inlineStr">
        <is>
          <t>Hard</t>
        </is>
      </c>
      <c r="F1052" t="n">
        <v>21</v>
      </c>
      <c r="G1052" t="inlineStr">
        <is>
          <t>Dynamic Programming Level 1</t>
        </is>
      </c>
      <c r="H1052" t="inlineStr">
        <is>
          <t>Knapsack DP</t>
        </is>
      </c>
      <c r="I1052" t="inlineStr">
        <is>
          <t>Leetcode</t>
        </is>
      </c>
      <c r="J1052" t="inlineStr">
        <is>
          <t>Problem</t>
        </is>
      </c>
    </row>
    <row r="1053">
      <c r="A1053" t="n">
        <v>600</v>
      </c>
      <c r="B1053" t="inlineStr">
        <is>
          <t>Pizza With 3n Slices</t>
        </is>
      </c>
      <c r="C1053">
        <f>HYPERLINK("https://leetcode.com/problems/pizza-with-3n-slices/","pizza-with-3n-slices")</f>
        <v/>
      </c>
      <c r="D1053" t="inlineStr">
        <is>
          <t>-</t>
        </is>
      </c>
      <c r="E1053" t="inlineStr">
        <is>
          <t>Hard</t>
        </is>
      </c>
      <c r="F1053" t="n">
        <v>21</v>
      </c>
      <c r="G1053" t="inlineStr">
        <is>
          <t>Dynamic Programming Level 1</t>
        </is>
      </c>
      <c r="H1053" t="inlineStr">
        <is>
          <t>Knapsack DP</t>
        </is>
      </c>
      <c r="I1053" t="inlineStr">
        <is>
          <t>Leetcode</t>
        </is>
      </c>
      <c r="J1053" t="inlineStr">
        <is>
          <t>Problem</t>
        </is>
      </c>
    </row>
    <row r="1054">
      <c r="A1054" t="n">
        <v>421</v>
      </c>
      <c r="B1054" t="inlineStr">
        <is>
          <t>Minimum Swaps To Make Sequences Increasing</t>
        </is>
      </c>
      <c r="C1054">
        <f>HYPERLINK("https://leetcode.com/problems/minimum-swaps-to-make-sequences-increasing/","minimum-swaps-to-make-sequences-increasing")</f>
        <v/>
      </c>
      <c r="D1054" t="inlineStr">
        <is>
          <t>-</t>
        </is>
      </c>
      <c r="E1054" t="inlineStr">
        <is>
          <t>Hard</t>
        </is>
      </c>
      <c r="F1054" t="n">
        <v>21</v>
      </c>
      <c r="G1054" t="inlineStr">
        <is>
          <t>Dynamic Programming Level 1</t>
        </is>
      </c>
      <c r="H1054" t="inlineStr">
        <is>
          <t>Knapsack DP</t>
        </is>
      </c>
      <c r="I1054" t="inlineStr">
        <is>
          <t>Leetcode</t>
        </is>
      </c>
      <c r="J1054" t="inlineStr">
        <is>
          <t>Problem</t>
        </is>
      </c>
    </row>
    <row r="1055">
      <c r="A1055" t="n">
        <v>810</v>
      </c>
      <c r="B1055" t="inlineStr">
        <is>
          <t>Profitable Schemes</t>
        </is>
      </c>
      <c r="C1055">
        <f>HYPERLINK("https://leetcode.com/problems/profitable-schemes/","profitable-schemes")</f>
        <v/>
      </c>
      <c r="D1055" t="inlineStr">
        <is>
          <t>-</t>
        </is>
      </c>
      <c r="E1055" t="inlineStr">
        <is>
          <t>Hard</t>
        </is>
      </c>
      <c r="F1055" t="n">
        <v>21</v>
      </c>
      <c r="G1055" t="inlineStr">
        <is>
          <t>Dynamic Programming Level 1</t>
        </is>
      </c>
      <c r="H1055" t="inlineStr">
        <is>
          <t>Knapsack DP</t>
        </is>
      </c>
      <c r="I1055" t="inlineStr">
        <is>
          <t>Leetcode</t>
        </is>
      </c>
      <c r="J1055" t="inlineStr">
        <is>
          <t>Problem</t>
        </is>
      </c>
    </row>
    <row r="1056">
      <c r="A1056" t="n">
        <v>630</v>
      </c>
      <c r="B1056" t="inlineStr">
        <is>
          <t>Reducing Dishes</t>
        </is>
      </c>
      <c r="C1056">
        <f>HYPERLINK("https://leetcode.com/problems/reducing-dishes/","reducing-dishes")</f>
        <v/>
      </c>
      <c r="D1056" t="inlineStr">
        <is>
          <t>-</t>
        </is>
      </c>
      <c r="E1056" t="inlineStr">
        <is>
          <t>Hard</t>
        </is>
      </c>
      <c r="F1056" t="n">
        <v>21</v>
      </c>
      <c r="G1056" t="inlineStr">
        <is>
          <t>Dynamic Programming Level 1</t>
        </is>
      </c>
      <c r="H1056" t="inlineStr">
        <is>
          <t>Knapsack DP</t>
        </is>
      </c>
      <c r="I1056" t="inlineStr">
        <is>
          <t>Leetcode</t>
        </is>
      </c>
      <c r="J1056" t="inlineStr">
        <is>
          <t>Problem</t>
        </is>
      </c>
    </row>
    <row r="1057">
      <c r="A1057" t="n">
        <v>173</v>
      </c>
      <c r="B1057" t="inlineStr">
        <is>
          <t>Find Number of Ways to Reach the K-th Stair</t>
        </is>
      </c>
      <c r="C1057">
        <f>HYPERLINK("https://leetcode.com/problems/find-number-of-ways-to-reach-the-k-th-stair/","find-number-of-ways-to-reach-the-k-th-stair")</f>
        <v/>
      </c>
      <c r="D1057" t="inlineStr">
        <is>
          <t>-</t>
        </is>
      </c>
      <c r="E1057" t="inlineStr">
        <is>
          <t>Hard</t>
        </is>
      </c>
      <c r="F1057" t="n">
        <v>21</v>
      </c>
      <c r="G1057" t="inlineStr">
        <is>
          <t>Dynamic Programming Level 1</t>
        </is>
      </c>
      <c r="H1057" t="inlineStr">
        <is>
          <t>Knapsack DP</t>
        </is>
      </c>
      <c r="I1057" t="inlineStr">
        <is>
          <t>Leetcode</t>
        </is>
      </c>
      <c r="J1057" t="inlineStr">
        <is>
          <t>Problem</t>
        </is>
      </c>
    </row>
    <row r="1058">
      <c r="A1058" t="n">
        <v>469</v>
      </c>
      <c r="B1058" t="inlineStr">
        <is>
          <t>Find the Sum of Subsequence Powers</t>
        </is>
      </c>
      <c r="C1058">
        <f>HYPERLINK("https://leetcode.com/problems/find-the-sum-of-subsequence-powers/description/","find-the-sum-of-subsequence-powers")</f>
        <v/>
      </c>
      <c r="D1058" t="inlineStr">
        <is>
          <t>-</t>
        </is>
      </c>
      <c r="E1058" t="inlineStr">
        <is>
          <t>Hard</t>
        </is>
      </c>
      <c r="F1058" t="n">
        <v>21</v>
      </c>
      <c r="G1058" t="inlineStr">
        <is>
          <t>Dynamic Programming Level 1</t>
        </is>
      </c>
      <c r="H1058" t="inlineStr">
        <is>
          <t>Knapsack DP</t>
        </is>
      </c>
      <c r="I1058" t="inlineStr">
        <is>
          <t>Leetcode</t>
        </is>
      </c>
      <c r="J1058" t="inlineStr">
        <is>
          <t>Problem</t>
        </is>
      </c>
    </row>
    <row r="1059">
      <c r="A1059" t="n">
        <v>822</v>
      </c>
      <c r="B1059" t="inlineStr">
        <is>
          <t>Count of Sub-Multisets With Bounded Sum</t>
        </is>
      </c>
      <c r="C1059">
        <f>HYPERLINK("https://leetcode.com/problems/count-of-sub-multisets-with-bounded-sum/description/","count-of-sub-multisets-with-bounded-sum")</f>
        <v/>
      </c>
      <c r="D1059" t="inlineStr">
        <is>
          <t>-</t>
        </is>
      </c>
      <c r="E1059" t="inlineStr">
        <is>
          <t>Hard</t>
        </is>
      </c>
      <c r="F1059" t="n">
        <v>21</v>
      </c>
      <c r="G1059" t="inlineStr">
        <is>
          <t>Dynamic Programming Level 1</t>
        </is>
      </c>
      <c r="H1059" t="inlineStr">
        <is>
          <t>Knapsack DP</t>
        </is>
      </c>
      <c r="I1059" t="inlineStr">
        <is>
          <t>Leetcode</t>
        </is>
      </c>
      <c r="J1059" t="inlineStr">
        <is>
          <t>Problem</t>
        </is>
      </c>
    </row>
    <row r="1060">
      <c r="A1060" t="n">
        <v>261</v>
      </c>
      <c r="B1060" t="inlineStr">
        <is>
          <t>Longest Increasing Subsequence</t>
        </is>
      </c>
      <c r="C1060">
        <f>HYPERLINK("https://leetcode.com/problems/longest-increasing-subsequence/","longest-increasing-subsequence")</f>
        <v/>
      </c>
      <c r="D1060" t="inlineStr">
        <is>
          <t>-</t>
        </is>
      </c>
      <c r="E1060" t="inlineStr">
        <is>
          <t>Medium</t>
        </is>
      </c>
      <c r="F1060" t="n">
        <v>21</v>
      </c>
      <c r="G1060" t="inlineStr">
        <is>
          <t>Dynamic Programming Level 1</t>
        </is>
      </c>
      <c r="H1060" t="inlineStr">
        <is>
          <t>Longest Increasing Subsequence</t>
        </is>
      </c>
      <c r="I1060" t="inlineStr">
        <is>
          <t>Leetcode</t>
        </is>
      </c>
      <c r="J1060" t="inlineStr">
        <is>
          <t>Problem</t>
        </is>
      </c>
    </row>
    <row r="1061">
      <c r="A1061" t="n">
        <v>1506</v>
      </c>
      <c r="B1061" t="inlineStr">
        <is>
          <t>Printing Longest Increasing Subsequence</t>
        </is>
      </c>
      <c r="C1061">
        <f>HYPERLINK("https://www.geeksforgeeks.org/problems/printing-longest-increasing-subsequence/0","Solve Problem")</f>
        <v/>
      </c>
      <c r="D1061" t="inlineStr">
        <is>
          <t>-</t>
        </is>
      </c>
      <c r="E1061" t="inlineStr">
        <is>
          <t>Medium</t>
        </is>
      </c>
      <c r="F1061" t="n">
        <v>21</v>
      </c>
      <c r="G1061" t="inlineStr">
        <is>
          <t>Dynamic Programming Level 1</t>
        </is>
      </c>
      <c r="H1061" t="inlineStr">
        <is>
          <t>Longest Increasing Subsequence</t>
        </is>
      </c>
      <c r="I1061" t="inlineStr">
        <is>
          <t>Geeksforgeeks</t>
        </is>
      </c>
      <c r="J1061" t="inlineStr">
        <is>
          <t>Problem</t>
        </is>
      </c>
    </row>
    <row r="1062">
      <c r="A1062" t="n">
        <v>560</v>
      </c>
      <c r="B1062" t="inlineStr">
        <is>
          <t>Number of Longest Increasing Subsequence</t>
        </is>
      </c>
      <c r="C1062">
        <f>HYPERLINK("https://leetcode.com/problems/number-of-longest-increasing-subsequence/","number-of-longest-increasing-subsequence")</f>
        <v/>
      </c>
      <c r="D1062" t="inlineStr">
        <is>
          <t>-</t>
        </is>
      </c>
      <c r="E1062" t="inlineStr">
        <is>
          <t>Medium</t>
        </is>
      </c>
      <c r="F1062" t="n">
        <v>21</v>
      </c>
      <c r="G1062" t="inlineStr">
        <is>
          <t>Dynamic Programming Level 1</t>
        </is>
      </c>
      <c r="H1062" t="inlineStr">
        <is>
          <t>Longest Increasing Subsequence</t>
        </is>
      </c>
      <c r="I1062" t="inlineStr">
        <is>
          <t>Leetcode</t>
        </is>
      </c>
      <c r="J1062" t="inlineStr">
        <is>
          <t>Problem</t>
        </is>
      </c>
    </row>
    <row r="1063">
      <c r="A1063" t="n">
        <v>235</v>
      </c>
      <c r="B1063" t="inlineStr">
        <is>
          <t>Largest Divisible Subset</t>
        </is>
      </c>
      <c r="C1063">
        <f>HYPERLINK("https://leetcode.com/problems/largest-divisible-subset/","largest-divisible-subset")</f>
        <v/>
      </c>
      <c r="D1063" t="inlineStr">
        <is>
          <t>-</t>
        </is>
      </c>
      <c r="E1063" t="inlineStr">
        <is>
          <t>Medium</t>
        </is>
      </c>
      <c r="F1063" t="n">
        <v>21</v>
      </c>
      <c r="G1063" t="inlineStr">
        <is>
          <t>Dynamic Programming Level 1</t>
        </is>
      </c>
      <c r="H1063" t="inlineStr">
        <is>
          <t>Longest Increasing Subsequence</t>
        </is>
      </c>
      <c r="I1063" t="inlineStr">
        <is>
          <t>Leetcode</t>
        </is>
      </c>
      <c r="J1063" t="inlineStr">
        <is>
          <t>Problem</t>
        </is>
      </c>
    </row>
    <row r="1064">
      <c r="A1064" t="n">
        <v>272</v>
      </c>
      <c r="B1064" t="inlineStr">
        <is>
          <t>Longest Unequal Adjacent Groups Subsequence II</t>
        </is>
      </c>
      <c r="C1064">
        <f>HYPERLINK("https://leetcode.com/problems/longest-unequal-adjacent-groups-subsequence-ii/description/","longest-unequal-adjacent-groups-subsequence-ii")</f>
        <v/>
      </c>
      <c r="D1064" t="inlineStr">
        <is>
          <t>-</t>
        </is>
      </c>
      <c r="E1064" t="inlineStr">
        <is>
          <t>Medium</t>
        </is>
      </c>
      <c r="F1064" t="n">
        <v>21</v>
      </c>
      <c r="G1064" t="inlineStr">
        <is>
          <t>Dynamic Programming Level 1</t>
        </is>
      </c>
      <c r="H1064" t="inlineStr">
        <is>
          <t>Longest Increasing Subsequence</t>
        </is>
      </c>
      <c r="I1064" t="inlineStr">
        <is>
          <t>Leetcode</t>
        </is>
      </c>
      <c r="J1064" t="inlineStr">
        <is>
          <t>Problem</t>
        </is>
      </c>
    </row>
    <row r="1065">
      <c r="A1065" t="n">
        <v>1494</v>
      </c>
      <c r="B1065" t="inlineStr">
        <is>
          <t>Max Sum Increasing Subsequence</t>
        </is>
      </c>
      <c r="C1065">
        <f>HYPERLINK("https://www.geeksforgeeks.org/problems/maximum-sum-increasing-subsequence4749/1","Solve Problem")</f>
        <v/>
      </c>
      <c r="D1065" t="inlineStr">
        <is>
          <t>-</t>
        </is>
      </c>
      <c r="E1065" t="inlineStr">
        <is>
          <t>Medium</t>
        </is>
      </c>
      <c r="F1065" t="n">
        <v>21</v>
      </c>
      <c r="G1065" t="inlineStr">
        <is>
          <t>Dynamic Programming Level 1</t>
        </is>
      </c>
      <c r="H1065" t="inlineStr">
        <is>
          <t>Longest Increasing Subsequence</t>
        </is>
      </c>
      <c r="I1065" t="inlineStr">
        <is>
          <t>Geeksforgeeks</t>
        </is>
      </c>
      <c r="J1065" t="inlineStr">
        <is>
          <t>Problem</t>
        </is>
      </c>
    </row>
    <row r="1066">
      <c r="A1066" t="n">
        <v>285</v>
      </c>
      <c r="B1066" t="inlineStr">
        <is>
          <t>Find the Maximum Length of Valid Subsequence II</t>
        </is>
      </c>
      <c r="C1066">
        <f>HYPERLINK("https://leetcode.com/problems/find-the-maximum-length-of-valid-subsequence-ii/description/","find-the-maximum-length-of-valid-subsequence-ii")</f>
        <v/>
      </c>
      <c r="D1066" t="inlineStr">
        <is>
          <t>-</t>
        </is>
      </c>
      <c r="E1066" t="inlineStr">
        <is>
          <t>Medium</t>
        </is>
      </c>
      <c r="F1066" t="n">
        <v>21</v>
      </c>
      <c r="G1066" t="inlineStr">
        <is>
          <t>Dynamic Programming Level 1</t>
        </is>
      </c>
      <c r="H1066" t="inlineStr">
        <is>
          <t>Longest Increasing Subsequence</t>
        </is>
      </c>
      <c r="I1066" t="inlineStr">
        <is>
          <t>Leetcode</t>
        </is>
      </c>
      <c r="J1066" t="inlineStr">
        <is>
          <t>Problem</t>
        </is>
      </c>
    </row>
    <row r="1067">
      <c r="A1067" t="n">
        <v>778</v>
      </c>
      <c r="B1067" t="inlineStr">
        <is>
          <t>Wiggle Subsequence</t>
        </is>
      </c>
      <c r="C1067">
        <f>HYPERLINK("https://leetcode.com/problems/wiggle-subsequence/","wiggle-subsequence")</f>
        <v/>
      </c>
      <c r="D1067" t="inlineStr">
        <is>
          <t>-</t>
        </is>
      </c>
      <c r="E1067" t="inlineStr">
        <is>
          <t>Medium</t>
        </is>
      </c>
      <c r="F1067" t="n">
        <v>21</v>
      </c>
      <c r="G1067" t="inlineStr">
        <is>
          <t>Dynamic Programming Level 1</t>
        </is>
      </c>
      <c r="H1067" t="inlineStr">
        <is>
          <t>Longest Increasing Subsequence</t>
        </is>
      </c>
      <c r="I1067" t="inlineStr">
        <is>
          <t>Leetcode</t>
        </is>
      </c>
      <c r="J1067" t="inlineStr">
        <is>
          <t>Problem</t>
        </is>
      </c>
    </row>
    <row r="1068">
      <c r="A1068" t="n">
        <v>181</v>
      </c>
      <c r="B1068" t="inlineStr">
        <is>
          <t>Find the Count of Monotonic Pairs I</t>
        </is>
      </c>
      <c r="C1068">
        <f>HYPERLINK("https://leetcode.com/problems/find-the-count-of-monotonic-pairs-i/description/","find-the-count-of-monotonic-pairs-i")</f>
        <v/>
      </c>
      <c r="D1068" t="inlineStr">
        <is>
          <t>-</t>
        </is>
      </c>
      <c r="E1068" t="inlineStr">
        <is>
          <t>Hard</t>
        </is>
      </c>
      <c r="F1068" t="n">
        <v>21</v>
      </c>
      <c r="G1068" t="inlineStr">
        <is>
          <t>Dynamic Programming Level 1</t>
        </is>
      </c>
      <c r="H1068" t="inlineStr">
        <is>
          <t>Longest Increasing Subsequence</t>
        </is>
      </c>
      <c r="I1068" t="inlineStr">
        <is>
          <t>Leetcode</t>
        </is>
      </c>
      <c r="J1068" t="inlineStr">
        <is>
          <t>Problem</t>
        </is>
      </c>
    </row>
    <row r="1069">
      <c r="A1069" t="n">
        <v>666</v>
      </c>
      <c r="B1069" t="inlineStr">
        <is>
          <t>Russian Doll Envelopes</t>
        </is>
      </c>
      <c r="C1069">
        <f>HYPERLINK("https://leetcode.com/problems/russian-doll-envelopes/","russian-doll-envelopes")</f>
        <v/>
      </c>
      <c r="D1069" t="inlineStr">
        <is>
          <t>-</t>
        </is>
      </c>
      <c r="E1069" t="inlineStr">
        <is>
          <t>Hard</t>
        </is>
      </c>
      <c r="F1069" t="n">
        <v>21</v>
      </c>
      <c r="G1069" t="inlineStr">
        <is>
          <t>Dynamic Programming Level 1</t>
        </is>
      </c>
      <c r="H1069" t="inlineStr">
        <is>
          <t>Longest Increasing Subsequence</t>
        </is>
      </c>
      <c r="I1069" t="inlineStr">
        <is>
          <t>Leetcode</t>
        </is>
      </c>
      <c r="J1069" t="inlineStr">
        <is>
          <t>Problem</t>
        </is>
      </c>
    </row>
    <row r="1070">
      <c r="A1070" t="n">
        <v>134</v>
      </c>
      <c r="B1070" t="inlineStr">
        <is>
          <t>Delete Columns to Make Sorted III</t>
        </is>
      </c>
      <c r="C1070">
        <f>HYPERLINK("https://leetcode.com/problems/delete-columns-to-make-sorted-iii/","delete-columns-to-make-sorted-iii")</f>
        <v/>
      </c>
      <c r="D1070" t="inlineStr">
        <is>
          <t>-</t>
        </is>
      </c>
      <c r="E1070" t="inlineStr">
        <is>
          <t>Hard</t>
        </is>
      </c>
      <c r="F1070" t="n">
        <v>21</v>
      </c>
      <c r="G1070" t="inlineStr">
        <is>
          <t>Dynamic Programming Level 1</t>
        </is>
      </c>
      <c r="H1070" t="inlineStr">
        <is>
          <t>Longest Increasing Subsequence</t>
        </is>
      </c>
      <c r="I1070" t="inlineStr">
        <is>
          <t>Leetcode</t>
        </is>
      </c>
      <c r="J1070" t="inlineStr">
        <is>
          <t>Problem</t>
        </is>
      </c>
    </row>
    <row r="1071">
      <c r="A1071" t="n">
        <v>404</v>
      </c>
      <c r="B1071" t="inlineStr">
        <is>
          <t>Minimum Number of Removals to Make Mountain Array</t>
        </is>
      </c>
      <c r="C1071">
        <f>HYPERLINK("https://leetcode.com/problems/minimum-number-of-removals-to-make-mountain-array/","minimum-number-of-removals-to-make-mountain-array")</f>
        <v/>
      </c>
      <c r="D1071" t="inlineStr">
        <is>
          <t>-</t>
        </is>
      </c>
      <c r="E1071" t="inlineStr">
        <is>
          <t>Hard</t>
        </is>
      </c>
      <c r="F1071" t="n">
        <v>21</v>
      </c>
      <c r="G1071" t="inlineStr">
        <is>
          <t>Dynamic Programming Level 1</t>
        </is>
      </c>
      <c r="H1071" t="inlineStr">
        <is>
          <t>Longest Increasing Subsequence</t>
        </is>
      </c>
      <c r="I1071" t="inlineStr">
        <is>
          <t>Leetcode</t>
        </is>
      </c>
      <c r="J1071" t="inlineStr">
        <is>
          <t>Problem</t>
        </is>
      </c>
    </row>
    <row r="1072">
      <c r="A1072" t="n">
        <v>488</v>
      </c>
      <c r="B1072" t="inlineStr">
        <is>
          <t>Maximum Height by Stacking Cuboids</t>
        </is>
      </c>
      <c r="C1072">
        <f>HYPERLINK("https://leetcode.com/problems/maximum-height-by-stacking-cuboids/","maximum-height-by-stacking-cuboids")</f>
        <v/>
      </c>
      <c r="D1072" t="inlineStr">
        <is>
          <t>-</t>
        </is>
      </c>
      <c r="E1072" t="inlineStr">
        <is>
          <t>Hard</t>
        </is>
      </c>
      <c r="F1072" t="n">
        <v>21</v>
      </c>
      <c r="G1072" t="inlineStr">
        <is>
          <t>Dynamic Programming Level 1</t>
        </is>
      </c>
      <c r="H1072" t="inlineStr">
        <is>
          <t>Longest Increasing Subsequence</t>
        </is>
      </c>
      <c r="I1072" t="inlineStr">
        <is>
          <t>Leetcode</t>
        </is>
      </c>
      <c r="J1072" t="inlineStr">
        <is>
          <t>Problem</t>
        </is>
      </c>
    </row>
    <row r="1073">
      <c r="A1073" t="n">
        <v>490</v>
      </c>
      <c r="B1073" t="inlineStr">
        <is>
          <t>Maximum Length of Pair Chain</t>
        </is>
      </c>
      <c r="C1073">
        <f>HYPERLINK("https://leetcode.com/problems/maximum-length-of-pair-chain/","maximum-length-of-pair-chain")</f>
        <v/>
      </c>
      <c r="D1073" t="inlineStr">
        <is>
          <t>-</t>
        </is>
      </c>
      <c r="E1073" t="inlineStr">
        <is>
          <t>Hard</t>
        </is>
      </c>
      <c r="F1073" t="n">
        <v>21</v>
      </c>
      <c r="G1073" t="inlineStr">
        <is>
          <t>Dynamic Programming Level 1</t>
        </is>
      </c>
      <c r="H1073" t="inlineStr">
        <is>
          <t>Longest Increasing Subsequence</t>
        </is>
      </c>
      <c r="I1073" t="inlineStr">
        <is>
          <t>Leetcode</t>
        </is>
      </c>
      <c r="J1073" t="inlineStr">
        <is>
          <t>Problem</t>
        </is>
      </c>
    </row>
    <row r="1074">
      <c r="A1074" t="n">
        <v>294</v>
      </c>
      <c r="B1074" t="inlineStr">
        <is>
          <t>Make Array Strictly Increasing</t>
        </is>
      </c>
      <c r="C1074">
        <f>HYPERLINK("https://leetcode.com/problems/make-array-strictly-increasing/","make-array-strictly-increasing")</f>
        <v/>
      </c>
      <c r="D1074" t="inlineStr">
        <is>
          <t>-</t>
        </is>
      </c>
      <c r="E1074" t="inlineStr">
        <is>
          <t>Hard</t>
        </is>
      </c>
      <c r="F1074" t="n">
        <v>21</v>
      </c>
      <c r="G1074" t="inlineStr">
        <is>
          <t>Dynamic Programming Level 1</t>
        </is>
      </c>
      <c r="H1074" t="inlineStr">
        <is>
          <t>Longest Increasing Subsequence</t>
        </is>
      </c>
      <c r="I1074" t="inlineStr">
        <is>
          <t>Leetcode</t>
        </is>
      </c>
      <c r="J1074" t="inlineStr">
        <is>
          <t>Problem</t>
        </is>
      </c>
    </row>
    <row r="1075">
      <c r="A1075" t="n">
        <v>257</v>
      </c>
      <c r="B1075" t="inlineStr">
        <is>
          <t>Longest Common Subsequence</t>
        </is>
      </c>
      <c r="C1075">
        <f>HYPERLINK("https://leetcode.com/problems/longest-common-subsequence/","longest-common-subsequence")</f>
        <v/>
      </c>
      <c r="D1075" t="inlineStr">
        <is>
          <t>-</t>
        </is>
      </c>
      <c r="E1075" t="inlineStr">
        <is>
          <t>Medium</t>
        </is>
      </c>
      <c r="F1075" t="n">
        <v>21</v>
      </c>
      <c r="G1075" t="inlineStr">
        <is>
          <t>Dynamic Programming Level 1</t>
        </is>
      </c>
      <c r="H1075" t="inlineStr">
        <is>
          <t>Longest Common Subsequence</t>
        </is>
      </c>
      <c r="I1075" t="inlineStr">
        <is>
          <t>Leetcode</t>
        </is>
      </c>
      <c r="J1075" t="inlineStr">
        <is>
          <t>Problem</t>
        </is>
      </c>
    </row>
    <row r="1076">
      <c r="A1076" t="n">
        <v>1502</v>
      </c>
      <c r="B1076" t="inlineStr">
        <is>
          <t>Print all LCS sequences</t>
        </is>
      </c>
      <c r="C1076">
        <f>HYPERLINK("https://www.geeksforgeeks.org/problems/print-all-lcs-sequences3413/1","Solve Problem")</f>
        <v/>
      </c>
      <c r="D1076" t="inlineStr">
        <is>
          <t>-</t>
        </is>
      </c>
      <c r="E1076" t="inlineStr">
        <is>
          <t>Hard</t>
        </is>
      </c>
      <c r="F1076" t="n">
        <v>21</v>
      </c>
      <c r="G1076" t="inlineStr">
        <is>
          <t>Dynamic Programming Level 1</t>
        </is>
      </c>
      <c r="H1076" t="inlineStr">
        <is>
          <t>Longest Common Subsequence</t>
        </is>
      </c>
      <c r="I1076" t="inlineStr">
        <is>
          <t>Geeksforgeeks</t>
        </is>
      </c>
      <c r="J1076" t="inlineStr">
        <is>
          <t>Problem</t>
        </is>
      </c>
    </row>
    <row r="1077">
      <c r="A1077" t="n">
        <v>1076</v>
      </c>
      <c r="B1077" t="inlineStr">
        <is>
          <t>Count Common Subsequence in Two Strings</t>
        </is>
      </c>
      <c r="C1077">
        <f>HYPERLINK("https://www.geeksforgeeks.org/count-common-subsequence-in-two-strings/","Solve Problem")</f>
        <v/>
      </c>
      <c r="D1077" t="inlineStr">
        <is>
          <t>-</t>
        </is>
      </c>
      <c r="E1077" t="inlineStr">
        <is>
          <t>Theory</t>
        </is>
      </c>
      <c r="F1077" t="n">
        <v>21</v>
      </c>
      <c r="G1077" t="inlineStr">
        <is>
          <t>Dynamic Programming Level 1</t>
        </is>
      </c>
      <c r="H1077" t="inlineStr">
        <is>
          <t>Longest Common Subsequence</t>
        </is>
      </c>
      <c r="I1077" t="inlineStr">
        <is>
          <t>Geeksforgeeks</t>
        </is>
      </c>
      <c r="J1077" t="inlineStr">
        <is>
          <t>Lesson</t>
        </is>
      </c>
    </row>
    <row r="1078">
      <c r="A1078" t="n">
        <v>135</v>
      </c>
      <c r="B1078" t="inlineStr">
        <is>
          <t>Delete operation for two strings</t>
        </is>
      </c>
      <c r="C1078">
        <f>HYPERLINK("https://leetcode.com/problems/delete-operation-for-two-strings/description/","delete-operation-for-two-strings")</f>
        <v/>
      </c>
      <c r="D1078" t="inlineStr">
        <is>
          <t>-</t>
        </is>
      </c>
      <c r="E1078" t="inlineStr">
        <is>
          <t>Medium</t>
        </is>
      </c>
      <c r="F1078" t="n">
        <v>21</v>
      </c>
      <c r="G1078" t="inlineStr">
        <is>
          <t>Dynamic Programming Level 1</t>
        </is>
      </c>
      <c r="H1078" t="inlineStr">
        <is>
          <t>Longest Common Subsequence</t>
        </is>
      </c>
      <c r="I1078" t="inlineStr">
        <is>
          <t>Leetcode</t>
        </is>
      </c>
      <c r="J1078" t="inlineStr">
        <is>
          <t>Problem</t>
        </is>
      </c>
    </row>
    <row r="1079">
      <c r="A1079" t="n">
        <v>264</v>
      </c>
      <c r="B1079" t="inlineStr">
        <is>
          <t>Longest Palindromic Substring</t>
        </is>
      </c>
      <c r="C1079">
        <f>HYPERLINK("https://leetcode.com/problems/longest-palindromic-substring/","longest-palindromic-substring")</f>
        <v/>
      </c>
      <c r="D1079" t="inlineStr">
        <is>
          <t>-</t>
        </is>
      </c>
      <c r="E1079" t="inlineStr">
        <is>
          <t>Medium</t>
        </is>
      </c>
      <c r="F1079" t="n">
        <v>21</v>
      </c>
      <c r="G1079" t="inlineStr">
        <is>
          <t>Dynamic Programming Level 1</t>
        </is>
      </c>
      <c r="H1079" t="inlineStr">
        <is>
          <t>Longest Common Subsequence</t>
        </is>
      </c>
      <c r="I1079" t="inlineStr">
        <is>
          <t>Leetcode</t>
        </is>
      </c>
      <c r="J1079" t="inlineStr">
        <is>
          <t>Problem</t>
        </is>
      </c>
    </row>
    <row r="1080">
      <c r="A1080" t="n">
        <v>263</v>
      </c>
      <c r="B1080" t="inlineStr">
        <is>
          <t>Longest Palindromic Subsequence</t>
        </is>
      </c>
      <c r="C1080">
        <f>HYPERLINK("https://leetcode.com/problems/longest-palindromic-subsequence/","longest-palindromic-subsequence")</f>
        <v/>
      </c>
      <c r="D1080" t="inlineStr">
        <is>
          <t>-</t>
        </is>
      </c>
      <c r="E1080" t="inlineStr">
        <is>
          <t>Medium</t>
        </is>
      </c>
      <c r="F1080" t="n">
        <v>21</v>
      </c>
      <c r="G1080" t="inlineStr">
        <is>
          <t>Dynamic Programming Level 1</t>
        </is>
      </c>
      <c r="H1080" t="inlineStr">
        <is>
          <t>Longest Common Subsequence</t>
        </is>
      </c>
      <c r="I1080" t="inlineStr">
        <is>
          <t>Leetcode</t>
        </is>
      </c>
      <c r="J1080" t="inlineStr">
        <is>
          <t>Problem</t>
        </is>
      </c>
    </row>
    <row r="1081">
      <c r="A1081" t="n">
        <v>321</v>
      </c>
      <c r="B1081" t="inlineStr">
        <is>
          <t>Maximum Length of Repeated Subarray</t>
        </is>
      </c>
      <c r="C1081">
        <f>HYPERLINK("https://leetcode.com/problems/maximum-length-of-repeated-subarray/","maximum-length-of-repeated-subarray")</f>
        <v/>
      </c>
      <c r="D1081" t="inlineStr">
        <is>
          <t>-</t>
        </is>
      </c>
      <c r="E1081" t="inlineStr">
        <is>
          <t>Medium</t>
        </is>
      </c>
      <c r="F1081" t="n">
        <v>21</v>
      </c>
      <c r="G1081" t="inlineStr">
        <is>
          <t>Dynamic Programming Level 1</t>
        </is>
      </c>
      <c r="H1081" t="inlineStr">
        <is>
          <t>Longest Common Subsequence</t>
        </is>
      </c>
      <c r="I1081" t="inlineStr">
        <is>
          <t>Leetcode</t>
        </is>
      </c>
      <c r="J1081" t="inlineStr">
        <is>
          <t>Problem</t>
        </is>
      </c>
    </row>
    <row r="1082">
      <c r="A1082" t="n">
        <v>280</v>
      </c>
      <c r="B1082" t="inlineStr">
        <is>
          <t>Edit Distance</t>
        </is>
      </c>
      <c r="C1082">
        <f>HYPERLINK("https://leetcode.com/problems/edit-distance/","edit-distance")</f>
        <v/>
      </c>
      <c r="D1082" t="inlineStr">
        <is>
          <t>-</t>
        </is>
      </c>
      <c r="E1082" t="inlineStr">
        <is>
          <t>Medium</t>
        </is>
      </c>
      <c r="F1082" t="n">
        <v>21</v>
      </c>
      <c r="G1082" t="inlineStr">
        <is>
          <t>Dynamic Programming Level 1</t>
        </is>
      </c>
      <c r="H1082" t="inlineStr">
        <is>
          <t>Longest Common Subsequence</t>
        </is>
      </c>
      <c r="I1082" t="inlineStr">
        <is>
          <t>Leetcode</t>
        </is>
      </c>
      <c r="J1082" t="inlineStr">
        <is>
          <t>Problem</t>
        </is>
      </c>
    </row>
    <row r="1083">
      <c r="A1083" t="n">
        <v>474</v>
      </c>
      <c r="B1083" t="inlineStr">
        <is>
          <t>Interleaving String</t>
        </is>
      </c>
      <c r="C1083">
        <f>HYPERLINK("https://leetcode.com/problems/interleaving-string/","interleaving-string")</f>
        <v/>
      </c>
      <c r="D1083" t="inlineStr">
        <is>
          <t>-</t>
        </is>
      </c>
      <c r="E1083" t="inlineStr">
        <is>
          <t>Medium</t>
        </is>
      </c>
      <c r="F1083" t="n">
        <v>21</v>
      </c>
      <c r="G1083" t="inlineStr">
        <is>
          <t>Dynamic Programming Level 1</t>
        </is>
      </c>
      <c r="H1083" t="inlineStr">
        <is>
          <t>Longest Common Subsequence</t>
        </is>
      </c>
      <c r="I1083" t="inlineStr">
        <is>
          <t>Leetcode</t>
        </is>
      </c>
      <c r="J1083" t="inlineStr">
        <is>
          <t>Problem</t>
        </is>
      </c>
    </row>
    <row r="1084">
      <c r="A1084" t="n">
        <v>631</v>
      </c>
      <c r="B1084" t="inlineStr">
        <is>
          <t>Regular Expression Matching</t>
        </is>
      </c>
      <c r="C1084">
        <f>HYPERLINK("https://leetcode.com/problems/regular-expression-matching","regular-expression-matching")</f>
        <v/>
      </c>
      <c r="D1084" t="inlineStr">
        <is>
          <t>-</t>
        </is>
      </c>
      <c r="E1084" t="inlineStr">
        <is>
          <t>Hard</t>
        </is>
      </c>
      <c r="F1084" t="n">
        <v>21</v>
      </c>
      <c r="G1084" t="inlineStr">
        <is>
          <t>Dynamic Programming Level 1</t>
        </is>
      </c>
      <c r="H1084" t="inlineStr">
        <is>
          <t>Longest Common Subsequence</t>
        </is>
      </c>
      <c r="I1084" t="inlineStr">
        <is>
          <t>Leetcode</t>
        </is>
      </c>
      <c r="J1084" t="inlineStr">
        <is>
          <t>Problem</t>
        </is>
      </c>
    </row>
    <row r="1085">
      <c r="A1085" t="n">
        <v>779</v>
      </c>
      <c r="B1085" t="inlineStr">
        <is>
          <t>Wildcard Matching</t>
        </is>
      </c>
      <c r="C1085">
        <f>HYPERLINK("https://leetcode.com/problems/wildcard-matching","wildcard-matching")</f>
        <v/>
      </c>
      <c r="D1085" t="inlineStr">
        <is>
          <t>-</t>
        </is>
      </c>
      <c r="E1085" t="inlineStr">
        <is>
          <t>Hard</t>
        </is>
      </c>
      <c r="F1085" t="n">
        <v>21</v>
      </c>
      <c r="G1085" t="inlineStr">
        <is>
          <t>Dynamic Programming Level 1</t>
        </is>
      </c>
      <c r="H1085" t="inlineStr">
        <is>
          <t>Longest Common Subsequence</t>
        </is>
      </c>
      <c r="I1085" t="inlineStr">
        <is>
          <t>Leetcode</t>
        </is>
      </c>
      <c r="J1085" t="inlineStr">
        <is>
          <t>Problem</t>
        </is>
      </c>
    </row>
    <row r="1086">
      <c r="A1086" t="n">
        <v>681</v>
      </c>
      <c r="B1086" t="inlineStr">
        <is>
          <t>Shortest Common Supersequence</t>
        </is>
      </c>
      <c r="C1086">
        <f>HYPERLINK("https://leetcode.com/problems/shortest-common-supersequence/","shortest-common-supersequence")</f>
        <v/>
      </c>
      <c r="D1086" t="inlineStr">
        <is>
          <t>-</t>
        </is>
      </c>
      <c r="E1086" t="inlineStr">
        <is>
          <t>Hard</t>
        </is>
      </c>
      <c r="F1086" t="n">
        <v>21</v>
      </c>
      <c r="G1086" t="inlineStr">
        <is>
          <t>Dynamic Programming Level 1</t>
        </is>
      </c>
      <c r="H1086" t="inlineStr">
        <is>
          <t>Longest Common Subsequence</t>
        </is>
      </c>
      <c r="I1086" t="inlineStr">
        <is>
          <t>Leetcode</t>
        </is>
      </c>
      <c r="J1086" t="inlineStr">
        <is>
          <t>Problem</t>
        </is>
      </c>
    </row>
    <row r="1087">
      <c r="A1087" t="n">
        <v>390</v>
      </c>
      <c r="B1087" t="inlineStr">
        <is>
          <t>Minimum Insertion Steps to Make a String Palindrome</t>
        </is>
      </c>
      <c r="C1087">
        <f>HYPERLINK("https://leetcode.com/problems/minimum-insertion-steps-to-make-a-string-palindrome/","minimum-insertion-steps-to-make-a-string-palindrome")</f>
        <v/>
      </c>
      <c r="D1087" t="inlineStr">
        <is>
          <t>-</t>
        </is>
      </c>
      <c r="E1087" t="inlineStr">
        <is>
          <t>Hard</t>
        </is>
      </c>
      <c r="F1087" t="n">
        <v>21</v>
      </c>
      <c r="G1087" t="inlineStr">
        <is>
          <t>Dynamic Programming Level 1</t>
        </is>
      </c>
      <c r="H1087" t="inlineStr">
        <is>
          <t>Longest Common Subsequence</t>
        </is>
      </c>
      <c r="I1087" t="inlineStr">
        <is>
          <t>Leetcode</t>
        </is>
      </c>
      <c r="J1087" t="inlineStr">
        <is>
          <t>Problem</t>
        </is>
      </c>
    </row>
    <row r="1088">
      <c r="A1088" t="n">
        <v>302</v>
      </c>
      <c r="B1088" t="inlineStr">
        <is>
          <t>Max Dot Product of Two Subsequences</t>
        </is>
      </c>
      <c r="C1088">
        <f>HYPERLINK("https://leetcode.com/problems/max-dot-product-of-two-subsequences/","max-dot-product-of-two-subsequences")</f>
        <v/>
      </c>
      <c r="D1088" t="inlineStr">
        <is>
          <t>-</t>
        </is>
      </c>
      <c r="E1088" t="inlineStr">
        <is>
          <t>Hard</t>
        </is>
      </c>
      <c r="F1088" t="n">
        <v>21</v>
      </c>
      <c r="G1088" t="inlineStr">
        <is>
          <t>Dynamic Programming Level 1</t>
        </is>
      </c>
      <c r="H1088" t="inlineStr">
        <is>
          <t>Longest Common Subsequence</t>
        </is>
      </c>
      <c r="I1088" t="inlineStr">
        <is>
          <t>Leetcode</t>
        </is>
      </c>
      <c r="J1088" t="inlineStr">
        <is>
          <t>Problem</t>
        </is>
      </c>
    </row>
    <row r="1089">
      <c r="A1089" t="n">
        <v>418</v>
      </c>
      <c r="B1089" t="inlineStr">
        <is>
          <t>Minimum Substring Partition of Equal Character Frequency</t>
        </is>
      </c>
      <c r="C1089">
        <f>HYPERLINK("https://leetcode.com/problems/minimum-substring-partition-of-equal-character-frequency/description/","minimum-substring-partition-of-equal-character-frequency")</f>
        <v/>
      </c>
      <c r="D1089" t="inlineStr">
        <is>
          <t>-</t>
        </is>
      </c>
      <c r="E1089" t="inlineStr">
        <is>
          <t>Medium</t>
        </is>
      </c>
      <c r="F1089" t="n">
        <v>21</v>
      </c>
      <c r="G1089" t="inlineStr">
        <is>
          <t>Dynamic Programming Level 1</t>
        </is>
      </c>
      <c r="H1089" t="inlineStr">
        <is>
          <t>DP on String</t>
        </is>
      </c>
      <c r="I1089" t="inlineStr">
        <is>
          <t>Leetcode</t>
        </is>
      </c>
      <c r="J1089" t="inlineStr">
        <is>
          <t>Problem</t>
        </is>
      </c>
    </row>
    <row r="1090">
      <c r="A1090" t="n">
        <v>37</v>
      </c>
      <c r="B1090" t="inlineStr">
        <is>
          <t>Apply Operations to Make Two Strings Equal</t>
        </is>
      </c>
      <c r="C1090">
        <f>HYPERLINK("https://leetcode.com/problems/apply-operations-to-make-two-strings-equal/description/","apply-operations-to-make-two-strings-equal")</f>
        <v/>
      </c>
      <c r="D1090" t="inlineStr">
        <is>
          <t>-</t>
        </is>
      </c>
      <c r="E1090" t="inlineStr">
        <is>
          <t>Medium</t>
        </is>
      </c>
      <c r="F1090" t="n">
        <v>21</v>
      </c>
      <c r="G1090" t="inlineStr">
        <is>
          <t>Dynamic Programming Level 1</t>
        </is>
      </c>
      <c r="H1090" t="inlineStr">
        <is>
          <t>DP on String</t>
        </is>
      </c>
      <c r="I1090" t="inlineStr">
        <is>
          <t>Leetcode</t>
        </is>
      </c>
      <c r="J1090" t="inlineStr">
        <is>
          <t>Problem</t>
        </is>
      </c>
    </row>
    <row r="1091">
      <c r="A1091" t="n">
        <v>372</v>
      </c>
      <c r="B1091" t="inlineStr">
        <is>
          <t>Minimum ASCII Delete Sum for Two Strings</t>
        </is>
      </c>
      <c r="C1091">
        <f>HYPERLINK("https://leetcode.com/problems/minimum-ascii-delete-sum-for-two-strings/","minimum-ascii-delete-sum-for-two-strings")</f>
        <v/>
      </c>
      <c r="D1091" t="inlineStr">
        <is>
          <t>-</t>
        </is>
      </c>
      <c r="E1091" t="inlineStr">
        <is>
          <t>Medium</t>
        </is>
      </c>
      <c r="F1091" t="n">
        <v>21</v>
      </c>
      <c r="G1091" t="inlineStr">
        <is>
          <t>Dynamic Programming Level 1</t>
        </is>
      </c>
      <c r="H1091" t="inlineStr">
        <is>
          <t>DP on String</t>
        </is>
      </c>
      <c r="I1091" t="inlineStr">
        <is>
          <t>Leetcode</t>
        </is>
      </c>
      <c r="J1091" t="inlineStr">
        <is>
          <t>Problem</t>
        </is>
      </c>
    </row>
    <row r="1092">
      <c r="A1092" t="n">
        <v>780</v>
      </c>
      <c r="B1092" t="inlineStr">
        <is>
          <t>Word Break</t>
        </is>
      </c>
      <c r="C1092">
        <f>HYPERLINK("https://leetcode.com/problems/word-break/","word-break")</f>
        <v/>
      </c>
      <c r="D1092" t="inlineStr">
        <is>
          <t>-</t>
        </is>
      </c>
      <c r="E1092" t="inlineStr">
        <is>
          <t>Medium</t>
        </is>
      </c>
      <c r="F1092" t="n">
        <v>21</v>
      </c>
      <c r="G1092" t="inlineStr">
        <is>
          <t>Dynamic Programming Level 1</t>
        </is>
      </c>
      <c r="H1092" t="inlineStr">
        <is>
          <t>DP on String</t>
        </is>
      </c>
      <c r="I1092" t="inlineStr">
        <is>
          <t>Leetcode</t>
        </is>
      </c>
      <c r="J1092" t="inlineStr">
        <is>
          <t>Problem</t>
        </is>
      </c>
    </row>
    <row r="1093">
      <c r="A1093" t="n">
        <v>266</v>
      </c>
      <c r="B1093" t="inlineStr">
        <is>
          <t>Longest String Chain</t>
        </is>
      </c>
      <c r="C1093">
        <f>HYPERLINK("https://leetcode.com/problems/longest-string-chain/","longest-string-chain")</f>
        <v/>
      </c>
      <c r="D1093" t="inlineStr">
        <is>
          <t>-</t>
        </is>
      </c>
      <c r="E1093" t="inlineStr">
        <is>
          <t>Medium</t>
        </is>
      </c>
      <c r="F1093" t="n">
        <v>21</v>
      </c>
      <c r="G1093" t="inlineStr">
        <is>
          <t>Dynamic Programming Level 1</t>
        </is>
      </c>
      <c r="H1093" t="inlineStr">
        <is>
          <t>DP on String</t>
        </is>
      </c>
      <c r="I1093" t="inlineStr">
        <is>
          <t>Leetcode</t>
        </is>
      </c>
      <c r="J1093" t="inlineStr">
        <is>
          <t>Problem</t>
        </is>
      </c>
    </row>
    <row r="1094">
      <c r="A1094" t="n">
        <v>762</v>
      </c>
      <c r="B1094" t="inlineStr">
        <is>
          <t>Unique Substrings in Wraparound String</t>
        </is>
      </c>
      <c r="C1094">
        <f>HYPERLINK("https://leetcode.com/problems/unique-substrings-in-wraparound-string/","unique-substrings-in-wraparound-string")</f>
        <v/>
      </c>
      <c r="D1094" t="inlineStr">
        <is>
          <t>-</t>
        </is>
      </c>
      <c r="E1094" t="inlineStr">
        <is>
          <t>Medium</t>
        </is>
      </c>
      <c r="F1094" t="n">
        <v>21</v>
      </c>
      <c r="G1094" t="inlineStr">
        <is>
          <t>Dynamic Programming Level 1</t>
        </is>
      </c>
      <c r="H1094" t="inlineStr">
        <is>
          <t>DP on String</t>
        </is>
      </c>
      <c r="I1094" t="inlineStr">
        <is>
          <t>Leetcode</t>
        </is>
      </c>
      <c r="J1094" t="inlineStr">
        <is>
          <t>Problem</t>
        </is>
      </c>
    </row>
    <row r="1095">
      <c r="A1095" t="n">
        <v>273</v>
      </c>
      <c r="B1095" t="inlineStr">
        <is>
          <t>Longest Valid Parentheses</t>
        </is>
      </c>
      <c r="C1095">
        <f>HYPERLINK("https://leetcode.com/problems/longest-valid-parentheses/","longest-valid-parentheses")</f>
        <v/>
      </c>
      <c r="D1095" t="inlineStr">
        <is>
          <t>-</t>
        </is>
      </c>
      <c r="E1095" t="inlineStr">
        <is>
          <t>Hard</t>
        </is>
      </c>
      <c r="F1095" t="n">
        <v>21</v>
      </c>
      <c r="G1095" t="inlineStr">
        <is>
          <t>Dynamic Programming Level 1</t>
        </is>
      </c>
      <c r="H1095" t="inlineStr">
        <is>
          <t>DP on String</t>
        </is>
      </c>
      <c r="I1095" t="inlineStr">
        <is>
          <t>Leetcode</t>
        </is>
      </c>
      <c r="J1095" t="inlineStr">
        <is>
          <t>Problem</t>
        </is>
      </c>
    </row>
    <row r="1096">
      <c r="A1096" t="n">
        <v>143</v>
      </c>
      <c r="B1096" t="inlineStr">
        <is>
          <t>Distinct Subsequences</t>
        </is>
      </c>
      <c r="C1096">
        <f>HYPERLINK("https://leetcode.com/problems/distinct-subsequences/","distinct-subsequences")</f>
        <v/>
      </c>
      <c r="D1096" t="inlineStr">
        <is>
          <t>-</t>
        </is>
      </c>
      <c r="E1096" t="inlineStr">
        <is>
          <t>Hard</t>
        </is>
      </c>
      <c r="F1096" t="n">
        <v>21</v>
      </c>
      <c r="G1096" t="inlineStr">
        <is>
          <t>Dynamic Programming Level 1</t>
        </is>
      </c>
      <c r="H1096" t="inlineStr">
        <is>
          <t>DP on String</t>
        </is>
      </c>
      <c r="I1096" t="inlineStr">
        <is>
          <t>Leetcode</t>
        </is>
      </c>
      <c r="J1096" t="inlineStr">
        <is>
          <t>Problem</t>
        </is>
      </c>
    </row>
    <row r="1097">
      <c r="A1097" t="n">
        <v>781</v>
      </c>
      <c r="B1097" t="inlineStr">
        <is>
          <t>Word Break II</t>
        </is>
      </c>
      <c r="C1097">
        <f>HYPERLINK("https://leetcode.com/problems/word-break-ii/","word-break-ii")</f>
        <v/>
      </c>
      <c r="D1097" t="inlineStr">
        <is>
          <t>-</t>
        </is>
      </c>
      <c r="E1097" t="inlineStr">
        <is>
          <t>Hard</t>
        </is>
      </c>
      <c r="F1097" t="n">
        <v>21</v>
      </c>
      <c r="G1097" t="inlineStr">
        <is>
          <t>Dynamic Programming Level 1</t>
        </is>
      </c>
      <c r="H1097" t="inlineStr">
        <is>
          <t>DP on String</t>
        </is>
      </c>
      <c r="I1097" t="inlineStr">
        <is>
          <t>Leetcode</t>
        </is>
      </c>
      <c r="J1097" t="inlineStr">
        <is>
          <t>Problem</t>
        </is>
      </c>
    </row>
    <row r="1098">
      <c r="A1098" t="n">
        <v>125</v>
      </c>
      <c r="B1098" t="inlineStr">
        <is>
          <t>Sort an Array</t>
        </is>
      </c>
      <c r="C1098">
        <f>HYPERLINK("https://leetcode.com/problems/count-the-repetitions/","count-the-repetitions")</f>
        <v/>
      </c>
      <c r="D1098" t="inlineStr">
        <is>
          <t>-</t>
        </is>
      </c>
      <c r="E1098" t="inlineStr">
        <is>
          <t>Hard</t>
        </is>
      </c>
      <c r="F1098" t="n">
        <v>21</v>
      </c>
      <c r="G1098" t="inlineStr">
        <is>
          <t>Dynamic Programming Level 1</t>
        </is>
      </c>
      <c r="H1098" t="inlineStr">
        <is>
          <t>DP on String</t>
        </is>
      </c>
      <c r="I1098" t="inlineStr">
        <is>
          <t>Leetcode</t>
        </is>
      </c>
      <c r="J1098" t="inlineStr">
        <is>
          <t>Problem</t>
        </is>
      </c>
    </row>
    <row r="1099">
      <c r="A1099" t="n">
        <v>85</v>
      </c>
      <c r="B1099" t="inlineStr">
        <is>
          <t>Concatenated Words</t>
        </is>
      </c>
      <c r="C1099">
        <f>HYPERLINK("https://leetcode.com/problems/concatenated-words/","concatenated-words")</f>
        <v/>
      </c>
      <c r="D1099" t="inlineStr">
        <is>
          <t>-</t>
        </is>
      </c>
      <c r="E1099" t="inlineStr">
        <is>
          <t>Hard</t>
        </is>
      </c>
      <c r="F1099" t="n">
        <v>21</v>
      </c>
      <c r="G1099" t="inlineStr">
        <is>
          <t>Dynamic Programming Level 1</t>
        </is>
      </c>
      <c r="H1099" t="inlineStr">
        <is>
          <t>DP on String</t>
        </is>
      </c>
      <c r="I1099" t="inlineStr">
        <is>
          <t>Leetcode</t>
        </is>
      </c>
      <c r="J1099" t="inlineStr">
        <is>
          <t>Problem</t>
        </is>
      </c>
    </row>
    <row r="1100">
      <c r="A1100" t="n">
        <v>104</v>
      </c>
      <c r="B1100" t="inlineStr">
        <is>
          <t>Count Different Palindromic Subsequences</t>
        </is>
      </c>
      <c r="C1100">
        <f>HYPERLINK("https://leetcode.com/problems/count-different-palindromic-subsequences/","count-different-palindromic-subsequences")</f>
        <v/>
      </c>
      <c r="D1100" t="inlineStr">
        <is>
          <t>-</t>
        </is>
      </c>
      <c r="E1100" t="inlineStr">
        <is>
          <t>Hard</t>
        </is>
      </c>
      <c r="F1100" t="n">
        <v>21</v>
      </c>
      <c r="G1100" t="inlineStr">
        <is>
          <t>Dynamic Programming Level 1</t>
        </is>
      </c>
      <c r="H1100" t="inlineStr">
        <is>
          <t>DP on String</t>
        </is>
      </c>
      <c r="I1100" t="inlineStr">
        <is>
          <t>Leetcode</t>
        </is>
      </c>
      <c r="J1100" t="inlineStr">
        <is>
          <t>Problem</t>
        </is>
      </c>
    </row>
    <row r="1101">
      <c r="A1101" t="n">
        <v>144</v>
      </c>
      <c r="B1101" t="inlineStr">
        <is>
          <t>Distinct Subsequences II</t>
        </is>
      </c>
      <c r="C1101">
        <f>HYPERLINK("https://leetcode.com/problems/distinct-subsequences-ii/","distinct-subsequences-ii")</f>
        <v/>
      </c>
      <c r="D1101" t="inlineStr">
        <is>
          <t>-</t>
        </is>
      </c>
      <c r="E1101" t="inlineStr">
        <is>
          <t>Hard</t>
        </is>
      </c>
      <c r="F1101" t="n">
        <v>21</v>
      </c>
      <c r="G1101" t="inlineStr">
        <is>
          <t>Dynamic Programming Level 1</t>
        </is>
      </c>
      <c r="H1101" t="inlineStr">
        <is>
          <t>DP on String</t>
        </is>
      </c>
      <c r="I1101" t="inlineStr">
        <is>
          <t>Leetcode</t>
        </is>
      </c>
      <c r="J1101" t="inlineStr">
        <is>
          <t>Problem</t>
        </is>
      </c>
    </row>
    <row r="1102">
      <c r="A1102" t="n">
        <v>256</v>
      </c>
      <c r="B1102" t="inlineStr">
        <is>
          <t>Longest Chunked Palindrome Decomposition</t>
        </is>
      </c>
      <c r="C1102">
        <f>HYPERLINK("https://leetcode.com/problems/longest-chunked-palindrome-decomposition/","longest-chunked-palindrome-decomposition")</f>
        <v/>
      </c>
      <c r="D1102" t="inlineStr">
        <is>
          <t>-</t>
        </is>
      </c>
      <c r="E1102" t="inlineStr">
        <is>
          <t>Hard</t>
        </is>
      </c>
      <c r="F1102" t="n">
        <v>21</v>
      </c>
      <c r="G1102" t="inlineStr">
        <is>
          <t>Dynamic Programming Level 1</t>
        </is>
      </c>
      <c r="H1102" t="inlineStr">
        <is>
          <t>DP on String</t>
        </is>
      </c>
      <c r="I1102" t="inlineStr">
        <is>
          <t>Leetcode</t>
        </is>
      </c>
      <c r="J1102" t="inlineStr">
        <is>
          <t>Problem</t>
        </is>
      </c>
    </row>
    <row r="1103">
      <c r="A1103" t="n">
        <v>718</v>
      </c>
      <c r="B1103" t="inlineStr">
        <is>
          <t>String Compression II</t>
        </is>
      </c>
      <c r="C1103">
        <f>HYPERLINK("https://leetcode.com/problems/string-compression-ii/","string-compression-ii")</f>
        <v/>
      </c>
      <c r="D1103" t="inlineStr">
        <is>
          <t>-</t>
        </is>
      </c>
      <c r="E1103" t="inlineStr">
        <is>
          <t>Hard</t>
        </is>
      </c>
      <c r="F1103" t="n">
        <v>21</v>
      </c>
      <c r="G1103" t="inlineStr">
        <is>
          <t>Dynamic Programming Level 1</t>
        </is>
      </c>
      <c r="H1103" t="inlineStr">
        <is>
          <t>DP on String</t>
        </is>
      </c>
      <c r="I1103" t="inlineStr">
        <is>
          <t>Leetcode</t>
        </is>
      </c>
      <c r="J1103" t="inlineStr">
        <is>
          <t>Problem</t>
        </is>
      </c>
    </row>
    <row r="1104">
      <c r="A1104" t="n">
        <v>573</v>
      </c>
      <c r="B1104" t="inlineStr">
        <is>
          <t>Number of Ways to Form a Target String Given a Dictionary</t>
        </is>
      </c>
      <c r="C1104">
        <f>HYPERLINK("https://leetcode.com/problems/number-of-ways-to-form-a-target-string-given-a-dictionary/","number-of-ways-to-form-a-target-string-given-a-dictionary")</f>
        <v/>
      </c>
      <c r="D1104" t="inlineStr">
        <is>
          <t>-</t>
        </is>
      </c>
      <c r="E1104" t="inlineStr">
        <is>
          <t>Hard</t>
        </is>
      </c>
      <c r="F1104" t="n">
        <v>21</v>
      </c>
      <c r="G1104" t="inlineStr">
        <is>
          <t>Dynamic Programming Level 1</t>
        </is>
      </c>
      <c r="H1104" t="inlineStr">
        <is>
          <t>DP on String</t>
        </is>
      </c>
      <c r="I1104" t="inlineStr">
        <is>
          <t>Leetcode</t>
        </is>
      </c>
      <c r="J1104" t="inlineStr">
        <is>
          <t>Problem</t>
        </is>
      </c>
    </row>
    <row r="1105">
      <c r="A1105" t="n">
        <v>373</v>
      </c>
      <c r="B1105" t="inlineStr">
        <is>
          <t>Minimum Changes to Make K Semi-palindromes</t>
        </is>
      </c>
      <c r="C1105">
        <f>HYPERLINK("https://leetcode.com/problems/minimum-changes-to-make-k-semi-palindromes/description/","minimum-changes-to-make-k-semi-palindromes")</f>
        <v/>
      </c>
      <c r="D1105" t="inlineStr">
        <is>
          <t>-</t>
        </is>
      </c>
      <c r="E1105" t="inlineStr">
        <is>
          <t>Hard</t>
        </is>
      </c>
      <c r="F1105" t="n">
        <v>21</v>
      </c>
      <c r="G1105" t="inlineStr">
        <is>
          <t>Dynamic Programming Level 1</t>
        </is>
      </c>
      <c r="H1105" t="inlineStr">
        <is>
          <t>DP on String</t>
        </is>
      </c>
      <c r="I1105" t="inlineStr">
        <is>
          <t>Leetcode</t>
        </is>
      </c>
      <c r="J1105" t="inlineStr">
        <is>
          <t>Problem</t>
        </is>
      </c>
    </row>
    <row r="1106">
      <c r="A1106" t="n">
        <v>307</v>
      </c>
      <c r="B1106" t="inlineStr">
        <is>
          <t>Maximal Square</t>
        </is>
      </c>
      <c r="C1106">
        <f>HYPERLINK("https://leetcode.com/problems/maximal-square/","maximal-square")</f>
        <v/>
      </c>
      <c r="D1106" t="inlineStr">
        <is>
          <t>-</t>
        </is>
      </c>
      <c r="E1106" t="inlineStr">
        <is>
          <t>Medium</t>
        </is>
      </c>
      <c r="F1106" t="n">
        <v>21</v>
      </c>
      <c r="G1106" t="inlineStr">
        <is>
          <t>Dynamic Programming Level 1</t>
        </is>
      </c>
      <c r="H1106" t="inlineStr">
        <is>
          <t>Cummulative Sum</t>
        </is>
      </c>
      <c r="I1106" t="inlineStr">
        <is>
          <t>Leetcode</t>
        </is>
      </c>
      <c r="J1106" t="inlineStr">
        <is>
          <t>Problem</t>
        </is>
      </c>
    </row>
    <row r="1107">
      <c r="A1107" t="n">
        <v>811</v>
      </c>
      <c r="B1107" t="inlineStr">
        <is>
          <t>Range Sum Query 2D - Immutable</t>
        </is>
      </c>
      <c r="C1107">
        <f>HYPERLINK("https://leetcode.com/problems/range-sum-query-2d-immutable","range-sum-query-2d-immutable")</f>
        <v/>
      </c>
      <c r="D1107" t="inlineStr">
        <is>
          <t>-</t>
        </is>
      </c>
      <c r="E1107" t="inlineStr">
        <is>
          <t>Medium</t>
        </is>
      </c>
      <c r="F1107" t="n">
        <v>21</v>
      </c>
      <c r="G1107" t="inlineStr">
        <is>
          <t>Dynamic Programming Level 1</t>
        </is>
      </c>
      <c r="H1107" t="inlineStr">
        <is>
          <t>Cummulative Sum</t>
        </is>
      </c>
      <c r="I1107" t="inlineStr">
        <is>
          <t>Leetcode</t>
        </is>
      </c>
      <c r="J1107" t="inlineStr">
        <is>
          <t>Problem</t>
        </is>
      </c>
    </row>
    <row r="1108">
      <c r="A1108" t="n">
        <v>876</v>
      </c>
      <c r="B1108" t="inlineStr">
        <is>
          <t>Largest Plus Sign</t>
        </is>
      </c>
      <c r="C1108">
        <f>HYPERLINK("https://leetcode.com/problems/largest-plus-sign/","largest-plus-sign")</f>
        <v/>
      </c>
      <c r="D1108" t="inlineStr">
        <is>
          <t>-</t>
        </is>
      </c>
      <c r="E1108" t="inlineStr">
        <is>
          <t>Medium</t>
        </is>
      </c>
      <c r="F1108" t="n">
        <v>21</v>
      </c>
      <c r="G1108" t="inlineStr">
        <is>
          <t>Dynamic Programming Level 1</t>
        </is>
      </c>
      <c r="H1108" t="inlineStr">
        <is>
          <t>Cummulative Sum</t>
        </is>
      </c>
      <c r="I1108" t="inlineStr">
        <is>
          <t>Leetcode</t>
        </is>
      </c>
      <c r="J1108" t="inlineStr">
        <is>
          <t>Problem</t>
        </is>
      </c>
    </row>
    <row r="1109">
      <c r="A1109" t="n">
        <v>234</v>
      </c>
      <c r="B1109" t="inlineStr">
        <is>
          <t>Largest 1-Bordered Square</t>
        </is>
      </c>
      <c r="C1109">
        <f>HYPERLINK("https://leetcode.com/problems/largest-1-bordered-square/","largest-1-bordered-square")</f>
        <v/>
      </c>
      <c r="D1109" t="inlineStr">
        <is>
          <t>-</t>
        </is>
      </c>
      <c r="E1109" t="inlineStr">
        <is>
          <t>Medium</t>
        </is>
      </c>
      <c r="F1109" t="n">
        <v>21</v>
      </c>
      <c r="G1109" t="inlineStr">
        <is>
          <t>Dynamic Programming Level 1</t>
        </is>
      </c>
      <c r="H1109" t="inlineStr">
        <is>
          <t>Cummulative Sum</t>
        </is>
      </c>
      <c r="I1109" t="inlineStr">
        <is>
          <t>Leetcode</t>
        </is>
      </c>
      <c r="J1109" t="inlineStr">
        <is>
          <t>Problem</t>
        </is>
      </c>
    </row>
    <row r="1110">
      <c r="A1110" t="n">
        <v>116</v>
      </c>
      <c r="B1110" t="inlineStr">
        <is>
          <t>Count Square Submatrices with All Ones</t>
        </is>
      </c>
      <c r="C1110">
        <f>HYPERLINK("https://leetcode.com/problems/count-square-submatrices-with-all-ones/","count-square-submatrices-with-all-ones")</f>
        <v/>
      </c>
      <c r="D1110" t="inlineStr">
        <is>
          <t>-</t>
        </is>
      </c>
      <c r="E1110" t="inlineStr">
        <is>
          <t>Medium</t>
        </is>
      </c>
      <c r="F1110" t="n">
        <v>21</v>
      </c>
      <c r="G1110" t="inlineStr">
        <is>
          <t>Dynamic Programming Level 1</t>
        </is>
      </c>
      <c r="H1110" t="inlineStr">
        <is>
          <t>Cummulative Sum</t>
        </is>
      </c>
      <c r="I1110" t="inlineStr">
        <is>
          <t>Leetcode</t>
        </is>
      </c>
      <c r="J1110" t="inlineStr">
        <is>
          <t>Problem</t>
        </is>
      </c>
    </row>
    <row r="1111">
      <c r="A1111" t="n">
        <v>297</v>
      </c>
      <c r="B1111" t="inlineStr">
        <is>
          <t>Matrix Block Sum</t>
        </is>
      </c>
      <c r="C1111">
        <f>HYPERLINK("https://leetcode.com/problems/matrix-block-sum/","matrix-block-sum")</f>
        <v/>
      </c>
      <c r="D1111" t="inlineStr">
        <is>
          <t>-</t>
        </is>
      </c>
      <c r="E1111" t="inlineStr">
        <is>
          <t>Medium</t>
        </is>
      </c>
      <c r="F1111" t="n">
        <v>21</v>
      </c>
      <c r="G1111" t="inlineStr">
        <is>
          <t>Dynamic Programming Level 1</t>
        </is>
      </c>
      <c r="H1111" t="inlineStr">
        <is>
          <t>Cummulative Sum</t>
        </is>
      </c>
      <c r="I1111" t="inlineStr">
        <is>
          <t>Leetcode</t>
        </is>
      </c>
      <c r="J1111" t="inlineStr">
        <is>
          <t>Problem</t>
        </is>
      </c>
    </row>
    <row r="1112">
      <c r="A1112" t="n">
        <v>118</v>
      </c>
      <c r="B1112" t="inlineStr">
        <is>
          <t>Count Submatrices With All Ones</t>
        </is>
      </c>
      <c r="C1112">
        <f>HYPERLINK("https://leetcode.com/problems/count-submatrices-with-all-ones","count-submatrices-with-all-ones")</f>
        <v/>
      </c>
      <c r="D1112" t="inlineStr">
        <is>
          <t>-</t>
        </is>
      </c>
      <c r="E1112" t="inlineStr">
        <is>
          <t>Medium</t>
        </is>
      </c>
      <c r="F1112" t="n">
        <v>21</v>
      </c>
      <c r="G1112" t="inlineStr">
        <is>
          <t>Dynamic Programming Level 1</t>
        </is>
      </c>
      <c r="H1112" t="inlineStr">
        <is>
          <t>Cummulative Sum</t>
        </is>
      </c>
      <c r="I1112" t="inlineStr">
        <is>
          <t>Leetcode</t>
        </is>
      </c>
      <c r="J1112" t="inlineStr">
        <is>
          <t>Problem</t>
        </is>
      </c>
    </row>
    <row r="1113">
      <c r="A1113" t="n">
        <v>776</v>
      </c>
      <c r="B1113" t="inlineStr">
        <is>
          <t>Ways to Make a Fair Array</t>
        </is>
      </c>
      <c r="C1113">
        <f>HYPERLINK("https://leetcode.com/problems/ways-to-make-a-fair-array/","ways-to-make-a-fair-array")</f>
        <v/>
      </c>
      <c r="D1113" t="inlineStr">
        <is>
          <t>-</t>
        </is>
      </c>
      <c r="E1113" t="inlineStr">
        <is>
          <t>Medium</t>
        </is>
      </c>
      <c r="F1113" t="n">
        <v>21</v>
      </c>
      <c r="G1113" t="inlineStr">
        <is>
          <t>Dynamic Programming Level 1</t>
        </is>
      </c>
      <c r="H1113" t="inlineStr">
        <is>
          <t>Cummulative Sum</t>
        </is>
      </c>
      <c r="I1113" t="inlineStr">
        <is>
          <t>Leetcode</t>
        </is>
      </c>
      <c r="J1113" t="inlineStr">
        <is>
          <t>Problem</t>
        </is>
      </c>
    </row>
    <row r="1114">
      <c r="A1114" t="n">
        <v>305</v>
      </c>
      <c r="B1114" t="inlineStr">
        <is>
          <t>Maximal Rectangle</t>
        </is>
      </c>
      <c r="C1114">
        <f>HYPERLINK("https://leetcode.com/problems/maximal-rectangle","maximal-rectangle")</f>
        <v/>
      </c>
      <c r="D1114" t="inlineStr">
        <is>
          <t>-</t>
        </is>
      </c>
      <c r="E1114" t="inlineStr">
        <is>
          <t>Hard</t>
        </is>
      </c>
      <c r="F1114" t="n">
        <v>21</v>
      </c>
      <c r="G1114" t="inlineStr">
        <is>
          <t>Dynamic Programming Level 1</t>
        </is>
      </c>
      <c r="H1114" t="inlineStr">
        <is>
          <t>Cummulative Sum</t>
        </is>
      </c>
      <c r="I1114" t="inlineStr">
        <is>
          <t>Leetcode</t>
        </is>
      </c>
      <c r="J1114" t="inlineStr">
        <is>
          <t>Problem</t>
        </is>
      </c>
    </row>
    <row r="1115">
      <c r="A1115" t="n">
        <v>304</v>
      </c>
      <c r="B1115" t="inlineStr">
        <is>
          <t>Max Sum of Rectangle No Larger Than K</t>
        </is>
      </c>
      <c r="C1115">
        <f>HYPERLINK("https://leetcode.com/problems/max-sum-of-rectangle-no-larger-than-k/","max-sum-of-rectangle-no-larger-than-k")</f>
        <v/>
      </c>
      <c r="D1115" t="inlineStr">
        <is>
          <t>-</t>
        </is>
      </c>
      <c r="E1115" t="inlineStr">
        <is>
          <t>Hard</t>
        </is>
      </c>
      <c r="F1115" t="n">
        <v>21</v>
      </c>
      <c r="G1115" t="inlineStr">
        <is>
          <t>Dynamic Programming Level 1</t>
        </is>
      </c>
      <c r="H1115" t="inlineStr">
        <is>
          <t>Cummulative Sum</t>
        </is>
      </c>
      <c r="I1115" t="inlineStr">
        <is>
          <t>Leetcode</t>
        </is>
      </c>
      <c r="J1115" t="inlineStr">
        <is>
          <t>Problem</t>
        </is>
      </c>
    </row>
    <row r="1116">
      <c r="A1116" t="n">
        <v>737</v>
      </c>
      <c r="B1116" t="inlineStr">
        <is>
          <t>Super Washing Machines</t>
        </is>
      </c>
      <c r="C1116">
        <f>HYPERLINK("https://leetcode.com/problems/super-washing-machines/description/","super-washing-machines")</f>
        <v/>
      </c>
      <c r="D1116" t="inlineStr">
        <is>
          <t>-</t>
        </is>
      </c>
      <c r="E1116" t="inlineStr">
        <is>
          <t>Hard</t>
        </is>
      </c>
      <c r="F1116" t="n">
        <v>21</v>
      </c>
      <c r="G1116" t="inlineStr">
        <is>
          <t>Dynamic Programming Level 1</t>
        </is>
      </c>
      <c r="H1116" t="inlineStr">
        <is>
          <t>Cummulative Sum</t>
        </is>
      </c>
      <c r="I1116" t="inlineStr">
        <is>
          <t>Leetcode</t>
        </is>
      </c>
      <c r="J1116" t="inlineStr">
        <is>
          <t>Problem</t>
        </is>
      </c>
    </row>
    <row r="1117">
      <c r="A1117" t="n">
        <v>792</v>
      </c>
      <c r="B1117" t="inlineStr">
        <is>
          <t>Maximum Sum of 3 Non-Overlapping Subarrays</t>
        </is>
      </c>
      <c r="C1117">
        <f>HYPERLINK("https://leetcode.com/problems/maximum-sum-of-3-non-overlapping-subarrays/description/","maximum-sum-of-3-non-overlapping-subarrays")</f>
        <v/>
      </c>
      <c r="D1117" t="inlineStr">
        <is>
          <t>-</t>
        </is>
      </c>
      <c r="E1117" t="inlineStr">
        <is>
          <t>Hard</t>
        </is>
      </c>
      <c r="F1117" t="n">
        <v>21</v>
      </c>
      <c r="G1117" t="inlineStr">
        <is>
          <t>Dynamic Programming Level 1</t>
        </is>
      </c>
      <c r="H1117" t="inlineStr">
        <is>
          <t>Cummulative Sum</t>
        </is>
      </c>
      <c r="I1117" t="inlineStr">
        <is>
          <t>Leetcode</t>
        </is>
      </c>
      <c r="J1117" t="inlineStr">
        <is>
          <t>Problem</t>
        </is>
      </c>
    </row>
    <row r="1118">
      <c r="A1118" t="n">
        <v>570</v>
      </c>
      <c r="B1118" t="inlineStr">
        <is>
          <t>Number of Submatrices That Sum to Target</t>
        </is>
      </c>
      <c r="C1118">
        <f>HYPERLINK("https://leetcode.com/problems/number-of-submatrices-that-sum-to-target/description/","number-of-submatrices-that-sum-to-target")</f>
        <v/>
      </c>
      <c r="D1118" t="inlineStr">
        <is>
          <t>-</t>
        </is>
      </c>
      <c r="E1118" t="inlineStr">
        <is>
          <t>Hard</t>
        </is>
      </c>
      <c r="F1118" t="n">
        <v>21</v>
      </c>
      <c r="G1118" t="inlineStr">
        <is>
          <t>Dynamic Programming Level 1</t>
        </is>
      </c>
      <c r="H1118" t="inlineStr">
        <is>
          <t>Cummulative Sum</t>
        </is>
      </c>
      <c r="I1118" t="inlineStr">
        <is>
          <t>Leetcode</t>
        </is>
      </c>
      <c r="J1118" t="inlineStr">
        <is>
          <t>Problem</t>
        </is>
      </c>
    </row>
    <row r="1119">
      <c r="A1119" t="n">
        <v>182</v>
      </c>
      <c r="B1119" t="inlineStr">
        <is>
          <t>Find the Count of Monotonic Pairs II</t>
        </is>
      </c>
      <c r="C1119">
        <f>HYPERLINK("https://leetcode.com/problems/find-the-count-of-monotonic-pairs-ii/description/","find-the-count-of-monotonic-pairs-ii")</f>
        <v/>
      </c>
      <c r="D1119" t="inlineStr">
        <is>
          <t>-</t>
        </is>
      </c>
      <c r="E1119" t="inlineStr">
        <is>
          <t>Hard</t>
        </is>
      </c>
      <c r="F1119" t="n">
        <v>21</v>
      </c>
      <c r="G1119" t="inlineStr">
        <is>
          <t>Dynamic Programming Level 1</t>
        </is>
      </c>
      <c r="H1119" t="inlineStr">
        <is>
          <t>Cummulative Sum</t>
        </is>
      </c>
      <c r="I1119" t="inlineStr">
        <is>
          <t>Leetcode</t>
        </is>
      </c>
      <c r="J1119" t="inlineStr">
        <is>
          <t>Problem</t>
        </is>
      </c>
    </row>
    <row r="1120">
      <c r="A1120" t="n">
        <v>206</v>
      </c>
      <c r="B1120" t="inlineStr">
        <is>
          <t>Get the Maximum Score</t>
        </is>
      </c>
      <c r="C1120">
        <f>HYPERLINK("https://leetcode.com/problems/get-the-maximum-score/","get-the-maximum-score")</f>
        <v/>
      </c>
      <c r="D1120" t="inlineStr">
        <is>
          <t>-</t>
        </is>
      </c>
      <c r="E1120" t="inlineStr">
        <is>
          <t>Hard</t>
        </is>
      </c>
      <c r="F1120" t="n">
        <v>21</v>
      </c>
      <c r="G1120" t="inlineStr">
        <is>
          <t>Dynamic Programming Level 1</t>
        </is>
      </c>
      <c r="H1120" t="inlineStr">
        <is>
          <t>Cummulative Sum</t>
        </is>
      </c>
      <c r="I1120" t="inlineStr">
        <is>
          <t>Leetcode</t>
        </is>
      </c>
      <c r="J1120" t="inlineStr">
        <is>
          <t>Problem</t>
        </is>
      </c>
    </row>
    <row r="1121">
      <c r="A1121" t="n">
        <v>1493</v>
      </c>
      <c r="B1121" t="inlineStr">
        <is>
          <t>Matrix Chain Multiplication</t>
        </is>
      </c>
      <c r="C1121">
        <f>HYPERLINK("https://www.geeksforgeeks.org/problems/matrix-chain-multiplication0303/1","Solve Problem")</f>
        <v/>
      </c>
      <c r="D1121" t="inlineStr">
        <is>
          <t>-</t>
        </is>
      </c>
      <c r="E1121" t="inlineStr">
        <is>
          <t>Hard</t>
        </is>
      </c>
      <c r="F1121" t="n">
        <v>21</v>
      </c>
      <c r="G1121" t="inlineStr">
        <is>
          <t>Dynamic Programming Level 1</t>
        </is>
      </c>
      <c r="H1121" t="inlineStr">
        <is>
          <t>Matrix Chain Multiplication</t>
        </is>
      </c>
      <c r="I1121" t="inlineStr">
        <is>
          <t>Geeksforgeeks</t>
        </is>
      </c>
      <c r="J1121" t="inlineStr">
        <is>
          <t>Problem</t>
        </is>
      </c>
    </row>
    <row r="1122">
      <c r="A1122" t="n">
        <v>788</v>
      </c>
      <c r="B1122" t="inlineStr">
        <is>
          <t>Guess Number Higher or Lower II</t>
        </is>
      </c>
      <c r="C1122">
        <f>HYPERLINK("https://leetcode.com/problems/guess-number-higher-or-lower-ii/","guess-number-higher-or-lower-ii")</f>
        <v/>
      </c>
      <c r="D1122" t="inlineStr">
        <is>
          <t>-</t>
        </is>
      </c>
      <c r="E1122" t="inlineStr">
        <is>
          <t>Medium</t>
        </is>
      </c>
      <c r="F1122" t="n">
        <v>21</v>
      </c>
      <c r="G1122" t="inlineStr">
        <is>
          <t>Dynamic Programming Level 1</t>
        </is>
      </c>
      <c r="H1122" t="inlineStr">
        <is>
          <t>Matrix Chain Multiplication</t>
        </is>
      </c>
      <c r="I1122" t="inlineStr">
        <is>
          <t>Leetcode</t>
        </is>
      </c>
      <c r="J1122" t="inlineStr">
        <is>
          <t>Problem</t>
        </is>
      </c>
    </row>
    <row r="1123">
      <c r="A1123" t="n">
        <v>607</v>
      </c>
      <c r="B1123" t="inlineStr">
        <is>
          <t>Predict the Winner</t>
        </is>
      </c>
      <c r="C1123">
        <f>HYPERLINK("https://leetcode.com/problems/predict-the-winner","predict-the-winner")</f>
        <v/>
      </c>
      <c r="D1123" t="inlineStr">
        <is>
          <t>-</t>
        </is>
      </c>
      <c r="E1123" t="inlineStr">
        <is>
          <t>Medium</t>
        </is>
      </c>
      <c r="F1123" t="n">
        <v>21</v>
      </c>
      <c r="G1123" t="inlineStr">
        <is>
          <t>Dynamic Programming Level 1</t>
        </is>
      </c>
      <c r="H1123" t="inlineStr">
        <is>
          <t>Matrix Chain Multiplication</t>
        </is>
      </c>
      <c r="I1123" t="inlineStr">
        <is>
          <t>Leetcode</t>
        </is>
      </c>
      <c r="J1123" t="inlineStr">
        <is>
          <t>Problem</t>
        </is>
      </c>
    </row>
    <row r="1124">
      <c r="A1124" t="n">
        <v>713</v>
      </c>
      <c r="B1124" t="inlineStr">
        <is>
          <t>Stone Game</t>
        </is>
      </c>
      <c r="C1124">
        <f>HYPERLINK("https://leetcode.com/problems/stone-game/","stone-game")</f>
        <v/>
      </c>
      <c r="D1124" t="inlineStr">
        <is>
          <t>-</t>
        </is>
      </c>
      <c r="E1124" t="inlineStr">
        <is>
          <t>Medium</t>
        </is>
      </c>
      <c r="F1124" t="n">
        <v>21</v>
      </c>
      <c r="G1124" t="inlineStr">
        <is>
          <t>Dynamic Programming Level 1</t>
        </is>
      </c>
      <c r="H1124" t="inlineStr">
        <is>
          <t>Matrix Chain Multiplication</t>
        </is>
      </c>
      <c r="I1124" t="inlineStr">
        <is>
          <t>Leetcode</t>
        </is>
      </c>
      <c r="J1124" t="inlineStr">
        <is>
          <t>Problem</t>
        </is>
      </c>
    </row>
    <row r="1125">
      <c r="A1125" t="n">
        <v>66</v>
      </c>
      <c r="B1125" t="inlineStr">
        <is>
          <t>Burst Balloons</t>
        </is>
      </c>
      <c r="C1125">
        <f>HYPERLINK("https://leetcode.com/problems/burst-balloons/","burst-balloons")</f>
        <v/>
      </c>
      <c r="D1125" t="inlineStr">
        <is>
          <t>-</t>
        </is>
      </c>
      <c r="E1125" t="inlineStr">
        <is>
          <t>Hard</t>
        </is>
      </c>
      <c r="F1125" t="n">
        <v>21</v>
      </c>
      <c r="G1125" t="inlineStr">
        <is>
          <t>Dynamic Programming Level 1</t>
        </is>
      </c>
      <c r="H1125" t="inlineStr">
        <is>
          <t>Matrix Chain Multiplication</t>
        </is>
      </c>
      <c r="I1125" t="inlineStr">
        <is>
          <t>Leetcode</t>
        </is>
      </c>
      <c r="J1125" t="inlineStr">
        <is>
          <t>Problem</t>
        </is>
      </c>
    </row>
    <row r="1126">
      <c r="A1126" t="n">
        <v>415</v>
      </c>
      <c r="B1126" t="inlineStr">
        <is>
          <t>Minimum Score Triangulation of Polygon</t>
        </is>
      </c>
      <c r="C1126">
        <f>HYPERLINK("https://leetcode.com/problems/minimum-score-triangulation-of-polygon/","minimum-score-triangulation-of-polygon")</f>
        <v/>
      </c>
      <c r="D1126" t="inlineStr">
        <is>
          <t>-</t>
        </is>
      </c>
      <c r="E1126" t="inlineStr">
        <is>
          <t>Medium</t>
        </is>
      </c>
      <c r="F1126" t="n">
        <v>21</v>
      </c>
      <c r="G1126" t="inlineStr">
        <is>
          <t>Dynamic Programming Level 1</t>
        </is>
      </c>
      <c r="H1126" t="inlineStr">
        <is>
          <t>Matrix Chain Multiplication</t>
        </is>
      </c>
      <c r="I1126" t="inlineStr">
        <is>
          <t>Leetcode</t>
        </is>
      </c>
      <c r="J1126" t="inlineStr">
        <is>
          <t>Problem</t>
        </is>
      </c>
    </row>
    <row r="1127">
      <c r="A1127" t="n">
        <v>383</v>
      </c>
      <c r="B1127" t="inlineStr">
        <is>
          <t>Minimum Cost Tree From Leaf Values</t>
        </is>
      </c>
      <c r="C1127">
        <f>HYPERLINK("https://leetcode.com/problems/minimum-cost-tree-from-leaf-values/","minimum-cost-tree-from-leaf-values")</f>
        <v/>
      </c>
      <c r="D1127" t="inlineStr">
        <is>
          <t>-</t>
        </is>
      </c>
      <c r="E1127" t="inlineStr">
        <is>
          <t>Medium</t>
        </is>
      </c>
      <c r="F1127" t="n">
        <v>21</v>
      </c>
      <c r="G1127" t="inlineStr">
        <is>
          <t>Dynamic Programming Level 1</t>
        </is>
      </c>
      <c r="H1127" t="inlineStr">
        <is>
          <t>Matrix Chain Multiplication</t>
        </is>
      </c>
      <c r="I1127" t="inlineStr">
        <is>
          <t>Leetcode</t>
        </is>
      </c>
      <c r="J1127" t="inlineStr">
        <is>
          <t>Problem</t>
        </is>
      </c>
    </row>
    <row r="1128">
      <c r="A1128" t="n">
        <v>586</v>
      </c>
      <c r="B1128" t="inlineStr">
        <is>
          <t>Partition Array for Maximum Sum</t>
        </is>
      </c>
      <c r="C1128">
        <f>HYPERLINK("https://leetcode.com/problems/partition-array-for-maximum-sum/description/","partition-array-for-maximum-sum")</f>
        <v/>
      </c>
      <c r="D1128" t="inlineStr">
        <is>
          <t>-</t>
        </is>
      </c>
      <c r="E1128" t="inlineStr">
        <is>
          <t>Medium</t>
        </is>
      </c>
      <c r="F1128" t="n">
        <v>21</v>
      </c>
      <c r="G1128" t="inlineStr">
        <is>
          <t>Dynamic Programming Level 1</t>
        </is>
      </c>
      <c r="H1128" t="inlineStr">
        <is>
          <t>Matrix Chain Multiplication</t>
        </is>
      </c>
      <c r="I1128" t="inlineStr">
        <is>
          <t>Leetcode</t>
        </is>
      </c>
      <c r="J1128" t="inlineStr">
        <is>
          <t>Problem</t>
        </is>
      </c>
    </row>
    <row r="1129">
      <c r="A1129" t="n">
        <v>584</v>
      </c>
      <c r="B1129" t="inlineStr">
        <is>
          <t>Palindrome Partitioning II</t>
        </is>
      </c>
      <c r="C1129">
        <f>HYPERLINK("https://leetcode.com/problems/palindrome-partitioning-iii/description/","palindrome-partitioning-iii")</f>
        <v/>
      </c>
      <c r="D1129" t="inlineStr">
        <is>
          <t>-</t>
        </is>
      </c>
      <c r="E1129" t="inlineStr">
        <is>
          <t>Hard</t>
        </is>
      </c>
      <c r="F1129" t="n">
        <v>21</v>
      </c>
      <c r="G1129" t="inlineStr">
        <is>
          <t>Dynamic Programming Level 1</t>
        </is>
      </c>
      <c r="H1129" t="inlineStr">
        <is>
          <t>Matrix Chain Multiplication</t>
        </is>
      </c>
      <c r="I1129" t="inlineStr">
        <is>
          <t>Leetcode</t>
        </is>
      </c>
      <c r="J1129" t="inlineStr">
        <is>
          <t>Problem</t>
        </is>
      </c>
    </row>
    <row r="1130">
      <c r="A1130" t="n">
        <v>715</v>
      </c>
      <c r="B1130" t="inlineStr">
        <is>
          <t>Stone Game VII</t>
        </is>
      </c>
      <c r="C1130">
        <f>HYPERLINK("https://leetcode.com/problems/stone-game-vii/","stone-game-vii")</f>
        <v/>
      </c>
      <c r="D1130" t="inlineStr">
        <is>
          <t>-</t>
        </is>
      </c>
      <c r="E1130" t="inlineStr">
        <is>
          <t>Medium</t>
        </is>
      </c>
      <c r="F1130" t="n">
        <v>21</v>
      </c>
      <c r="G1130" t="inlineStr">
        <is>
          <t>Dynamic Programming Level 1</t>
        </is>
      </c>
      <c r="H1130" t="inlineStr">
        <is>
          <t>Matrix Chain Multiplication</t>
        </is>
      </c>
      <c r="I1130" t="inlineStr">
        <is>
          <t>Leetcode</t>
        </is>
      </c>
      <c r="J1130" t="inlineStr">
        <is>
          <t>Problem</t>
        </is>
      </c>
    </row>
    <row r="1131">
      <c r="A1131" t="n">
        <v>634</v>
      </c>
      <c r="B1131" t="inlineStr">
        <is>
          <t>Remove Boxes</t>
        </is>
      </c>
      <c r="C1131">
        <f>HYPERLINK("https://leetcode.com/problems/remove-boxes/","remove-boxes")</f>
        <v/>
      </c>
      <c r="D1131" t="inlineStr">
        <is>
          <t>-</t>
        </is>
      </c>
      <c r="E1131" t="inlineStr">
        <is>
          <t>Hard</t>
        </is>
      </c>
      <c r="F1131" t="n">
        <v>21</v>
      </c>
      <c r="G1131" t="inlineStr">
        <is>
          <t>Dynamic Programming Level 1</t>
        </is>
      </c>
      <c r="H1131" t="inlineStr">
        <is>
          <t>Matrix Chain Multiplication</t>
        </is>
      </c>
      <c r="I1131" t="inlineStr">
        <is>
          <t>Leetcode</t>
        </is>
      </c>
      <c r="J1131" t="inlineStr">
        <is>
          <t>Problem</t>
        </is>
      </c>
    </row>
    <row r="1132">
      <c r="A1132" t="n">
        <v>716</v>
      </c>
      <c r="B1132" t="inlineStr">
        <is>
          <t>Strange Printer</t>
        </is>
      </c>
      <c r="C1132">
        <f>HYPERLINK("https://leetcode.com/problems/strange-printer/","strange-printer")</f>
        <v/>
      </c>
      <c r="D1132" t="inlineStr">
        <is>
          <t>-</t>
        </is>
      </c>
      <c r="E1132" t="inlineStr">
        <is>
          <t>Hard</t>
        </is>
      </c>
      <c r="F1132" t="n">
        <v>21</v>
      </c>
      <c r="G1132" t="inlineStr">
        <is>
          <t>Dynamic Programming Level 1</t>
        </is>
      </c>
      <c r="H1132" t="inlineStr">
        <is>
          <t>Matrix Chain Multiplication</t>
        </is>
      </c>
      <c r="I1132" t="inlineStr">
        <is>
          <t>Leetcode</t>
        </is>
      </c>
      <c r="J1132" t="inlineStr">
        <is>
          <t>Problem</t>
        </is>
      </c>
    </row>
    <row r="1133">
      <c r="A1133" t="n">
        <v>768</v>
      </c>
      <c r="B1133" t="inlineStr">
        <is>
          <t>Valid Permutations for DI Sequence</t>
        </is>
      </c>
      <c r="C1133">
        <f>HYPERLINK("https://leetcode.com/problems/valid-permutations-for-di-sequence/","valid-permutations-for-di-sequence")</f>
        <v/>
      </c>
      <c r="D1133" t="inlineStr">
        <is>
          <t>-</t>
        </is>
      </c>
      <c r="E1133" t="inlineStr">
        <is>
          <t>Hard</t>
        </is>
      </c>
      <c r="F1133" t="n">
        <v>21</v>
      </c>
      <c r="G1133" t="inlineStr">
        <is>
          <t>Dynamic Programming Level 1</t>
        </is>
      </c>
      <c r="H1133" t="inlineStr">
        <is>
          <t>Matrix Chain Multiplication</t>
        </is>
      </c>
      <c r="I1133" t="inlineStr">
        <is>
          <t>Leetcode</t>
        </is>
      </c>
      <c r="J1133" t="inlineStr">
        <is>
          <t>Problem</t>
        </is>
      </c>
    </row>
    <row r="1134">
      <c r="A1134" t="n">
        <v>382</v>
      </c>
      <c r="B1134" t="inlineStr">
        <is>
          <t>Minimum Cost to Merge Stones</t>
        </is>
      </c>
      <c r="C1134">
        <f>HYPERLINK("https://leetcode.com/problems/minimum-cost-to-merge-stones/","minimum-cost-to-merge-stones")</f>
        <v/>
      </c>
      <c r="D1134" t="inlineStr">
        <is>
          <t>-</t>
        </is>
      </c>
      <c r="E1134" t="inlineStr">
        <is>
          <t>Hard</t>
        </is>
      </c>
      <c r="F1134" t="n">
        <v>21</v>
      </c>
      <c r="G1134" t="inlineStr">
        <is>
          <t>Dynamic Programming Level 1</t>
        </is>
      </c>
      <c r="H1134" t="inlineStr">
        <is>
          <t>Matrix Chain Multiplication</t>
        </is>
      </c>
      <c r="I1134" t="inlineStr">
        <is>
          <t>Leetcode</t>
        </is>
      </c>
      <c r="J1134" t="inlineStr">
        <is>
          <t>Problem</t>
        </is>
      </c>
    </row>
    <row r="1135">
      <c r="A1135" t="n">
        <v>440</v>
      </c>
      <c r="B1135" t="inlineStr">
        <is>
          <t>Allocate Mailboxes</t>
        </is>
      </c>
      <c r="C1135">
        <f>HYPERLINK("https://leetcode.com/problems/allocate-mailboxes/","allocate-mailboxes")</f>
        <v/>
      </c>
      <c r="D1135" t="inlineStr">
        <is>
          <t>-</t>
        </is>
      </c>
      <c r="E1135" t="inlineStr">
        <is>
          <t>Hard</t>
        </is>
      </c>
      <c r="F1135" t="n">
        <v>21</v>
      </c>
      <c r="G1135" t="inlineStr">
        <is>
          <t>Dynamic Programming Level 1</t>
        </is>
      </c>
      <c r="H1135" t="inlineStr">
        <is>
          <t>Matrix Chain Multiplication</t>
        </is>
      </c>
      <c r="I1135" t="inlineStr">
        <is>
          <t>Leetcode</t>
        </is>
      </c>
      <c r="J1135" t="inlineStr">
        <is>
          <t>Problem</t>
        </is>
      </c>
    </row>
    <row r="1136">
      <c r="A1136" t="n">
        <v>378</v>
      </c>
      <c r="B1136" t="inlineStr">
        <is>
          <t>Minimum Cost to Cut a Stick</t>
        </is>
      </c>
      <c r="C1136">
        <f>HYPERLINK("https://leetcode.com/problems/minimum-cost-to-cut-a-stick/","minimum-cost-to-cut-a-stick")</f>
        <v/>
      </c>
      <c r="D1136" t="inlineStr">
        <is>
          <t>-</t>
        </is>
      </c>
      <c r="E1136" t="inlineStr">
        <is>
          <t>Hard</t>
        </is>
      </c>
      <c r="F1136" t="n">
        <v>21</v>
      </c>
      <c r="G1136" t="inlineStr">
        <is>
          <t>Dynamic Programming Level 1</t>
        </is>
      </c>
      <c r="H1136" t="inlineStr">
        <is>
          <t>Matrix Chain Multiplication</t>
        </is>
      </c>
      <c r="I1136" t="inlineStr">
        <is>
          <t>Leetcode</t>
        </is>
      </c>
      <c r="J1136" t="inlineStr">
        <is>
          <t>Problem</t>
        </is>
      </c>
    </row>
    <row r="1137">
      <c r="A1137" t="n">
        <v>714</v>
      </c>
      <c r="B1137" t="inlineStr">
        <is>
          <t>Stone Game V</t>
        </is>
      </c>
      <c r="C1137">
        <f>HYPERLINK("https://leetcode.com/problems/stone-game-v/","stone-game-v")</f>
        <v/>
      </c>
      <c r="D1137" t="inlineStr">
        <is>
          <t>-</t>
        </is>
      </c>
      <c r="E1137" t="inlineStr">
        <is>
          <t>Hard</t>
        </is>
      </c>
      <c r="F1137" t="n">
        <v>21</v>
      </c>
      <c r="G1137" t="inlineStr">
        <is>
          <t>Dynamic Programming Level 1</t>
        </is>
      </c>
      <c r="H1137" t="inlineStr">
        <is>
          <t>Matrix Chain Multiplication</t>
        </is>
      </c>
      <c r="I1137" t="inlineStr">
        <is>
          <t>Leetcode</t>
        </is>
      </c>
      <c r="J1137" t="inlineStr">
        <is>
          <t>Problem</t>
        </is>
      </c>
    </row>
    <row r="1138">
      <c r="A1138" t="n">
        <v>584</v>
      </c>
      <c r="B1138" t="inlineStr">
        <is>
          <t>Palindrome Partitioning II</t>
        </is>
      </c>
      <c r="C1138">
        <f>HYPERLINK("https://leetcode.com/problems/palindrome-partitioning-iii/description/","palindrome-partitioning-iii")</f>
        <v/>
      </c>
      <c r="D1138" t="inlineStr">
        <is>
          <t>-</t>
        </is>
      </c>
      <c r="E1138" t="inlineStr">
        <is>
          <t>Hard</t>
        </is>
      </c>
      <c r="F1138" t="n">
        <v>21</v>
      </c>
      <c r="G1138" t="inlineStr">
        <is>
          <t>Dynamic Programming Level 1</t>
        </is>
      </c>
      <c r="H1138" t="inlineStr">
        <is>
          <t>Matrix Chain Multiplication</t>
        </is>
      </c>
      <c r="I1138" t="inlineStr">
        <is>
          <t>Leetcode</t>
        </is>
      </c>
      <c r="J1138" t="inlineStr">
        <is>
          <t>Problem</t>
        </is>
      </c>
    </row>
    <row r="1139">
      <c r="A1139" t="n">
        <v>344</v>
      </c>
      <c r="B1139" t="inlineStr">
        <is>
          <t>Maximum Subarray</t>
        </is>
      </c>
      <c r="C1139">
        <f>HYPERLINK("https://leetcode.com/problems/maximum-subarray/","maximum-subarray")</f>
        <v/>
      </c>
      <c r="D1139" t="inlineStr">
        <is>
          <t>-</t>
        </is>
      </c>
      <c r="E1139" t="inlineStr">
        <is>
          <t>Medium</t>
        </is>
      </c>
      <c r="F1139" t="n">
        <v>21</v>
      </c>
      <c r="G1139" t="inlineStr">
        <is>
          <t>Dynamic Programming Level 1</t>
        </is>
      </c>
      <c r="H1139" t="inlineStr">
        <is>
          <t>Kadane Algo</t>
        </is>
      </c>
      <c r="I1139" t="inlineStr">
        <is>
          <t>Leetcode</t>
        </is>
      </c>
      <c r="J1139" t="inlineStr">
        <is>
          <t>Problem</t>
        </is>
      </c>
    </row>
    <row r="1140">
      <c r="A1140" t="n">
        <v>337</v>
      </c>
      <c r="B1140" t="inlineStr">
        <is>
          <t>Maximum Product Subarray</t>
        </is>
      </c>
      <c r="C1140">
        <f>HYPERLINK("https://leetcode.com/problems/maximum-product-subarray/","maximum-product-subarray")</f>
        <v/>
      </c>
      <c r="D1140" t="inlineStr">
        <is>
          <t>-</t>
        </is>
      </c>
      <c r="E1140" t="inlineStr">
        <is>
          <t>Medium</t>
        </is>
      </c>
      <c r="F1140" t="n">
        <v>21</v>
      </c>
      <c r="G1140" t="inlineStr">
        <is>
          <t>Dynamic Programming Level 1</t>
        </is>
      </c>
      <c r="H1140" t="inlineStr">
        <is>
          <t>Kadane Algo</t>
        </is>
      </c>
      <c r="I1140" t="inlineStr">
        <is>
          <t>Leetcode</t>
        </is>
      </c>
      <c r="J1140" t="inlineStr">
        <is>
          <t>Problem</t>
        </is>
      </c>
    </row>
    <row r="1141">
      <c r="A1141" t="n">
        <v>60</v>
      </c>
      <c r="B1141" t="inlineStr">
        <is>
          <t>Bitwise ORs of Subarrays</t>
        </is>
      </c>
      <c r="C1141">
        <f>HYPERLINK("https://leetcode.com/problems/bitwise-ors-of-subarrays/","bitwise-ors-of-subarrays")</f>
        <v/>
      </c>
      <c r="D1141" t="inlineStr">
        <is>
          <t>-</t>
        </is>
      </c>
      <c r="E1141" t="inlineStr">
        <is>
          <t>Medium</t>
        </is>
      </c>
      <c r="F1141" t="n">
        <v>21</v>
      </c>
      <c r="G1141" t="inlineStr">
        <is>
          <t>Dynamic Programming Level 1</t>
        </is>
      </c>
      <c r="H1141" t="inlineStr">
        <is>
          <t>Kadane Algo</t>
        </is>
      </c>
      <c r="I1141" t="inlineStr">
        <is>
          <t>Leetcode</t>
        </is>
      </c>
      <c r="J1141" t="inlineStr">
        <is>
          <t>Problem</t>
        </is>
      </c>
    </row>
    <row r="1142">
      <c r="A1142" t="n">
        <v>271</v>
      </c>
      <c r="B1142" t="inlineStr">
        <is>
          <t>Longest Turbulent Subarray</t>
        </is>
      </c>
      <c r="C1142">
        <f>HYPERLINK("https://leetcode.com/problems/longest-turbulent-subarray/","longest-turbulent-subarray")</f>
        <v/>
      </c>
      <c r="D1142" t="inlineStr">
        <is>
          <t>-</t>
        </is>
      </c>
      <c r="E1142" t="inlineStr">
        <is>
          <t>Medium</t>
        </is>
      </c>
      <c r="F1142" t="n">
        <v>21</v>
      </c>
      <c r="G1142" t="inlineStr">
        <is>
          <t>Dynamic Programming Level 1</t>
        </is>
      </c>
      <c r="H1142" t="inlineStr">
        <is>
          <t>Kadane Algo</t>
        </is>
      </c>
      <c r="I1142" t="inlineStr">
        <is>
          <t>Leetcode</t>
        </is>
      </c>
      <c r="J1142" t="inlineStr">
        <is>
          <t>Problem</t>
        </is>
      </c>
    </row>
    <row r="1143">
      <c r="A1143" t="n">
        <v>510</v>
      </c>
      <c r="B1143" t="inlineStr">
        <is>
          <t>Maximum Subarray Sum with One Deletion</t>
        </is>
      </c>
      <c r="C1143">
        <f>HYPERLINK("https://leetcode.com/problems/maximum-subarray-sum-with-one-deletion/","maximum-subarray-sum-with-one-deletion")</f>
        <v/>
      </c>
      <c r="D1143" t="inlineStr">
        <is>
          <t>-</t>
        </is>
      </c>
      <c r="E1143" t="inlineStr">
        <is>
          <t>Medium</t>
        </is>
      </c>
      <c r="F1143" t="n">
        <v>21</v>
      </c>
      <c r="G1143" t="inlineStr">
        <is>
          <t>Dynamic Programming Level 1</t>
        </is>
      </c>
      <c r="H1143" t="inlineStr">
        <is>
          <t>Kadane Algo</t>
        </is>
      </c>
      <c r="I1143" t="inlineStr">
        <is>
          <t>Leetcode</t>
        </is>
      </c>
      <c r="J1143" t="inlineStr">
        <is>
          <t>Problem</t>
        </is>
      </c>
    </row>
    <row r="1144">
      <c r="A1144" t="n">
        <v>225</v>
      </c>
      <c r="B1144" t="inlineStr">
        <is>
          <t>K-Concatenation Maximum Sum</t>
        </is>
      </c>
      <c r="C1144">
        <f>HYPERLINK("https://leetcode.com/problems/k-concatenation-maximum-sum/","k-concatenation-maximum-sum")</f>
        <v/>
      </c>
      <c r="D1144" t="inlineStr">
        <is>
          <t>-</t>
        </is>
      </c>
      <c r="E1144" t="inlineStr">
        <is>
          <t>Medium</t>
        </is>
      </c>
      <c r="F1144" t="n">
        <v>21</v>
      </c>
      <c r="G1144" t="inlineStr">
        <is>
          <t>Dynamic Programming Level 1</t>
        </is>
      </c>
      <c r="H1144" t="inlineStr">
        <is>
          <t>Kadane Algo</t>
        </is>
      </c>
      <c r="I1144" t="inlineStr">
        <is>
          <t>Leetcode</t>
        </is>
      </c>
      <c r="J1144" t="inlineStr">
        <is>
          <t>Problem</t>
        </is>
      </c>
    </row>
    <row r="1145">
      <c r="A1145" t="n">
        <v>246</v>
      </c>
      <c r="B1145" t="inlineStr">
        <is>
          <t>Length of Longest Fibonacci Subsequence</t>
        </is>
      </c>
      <c r="C1145">
        <f>HYPERLINK("https://leetcode.com/problems/length-of-longest-fibonacci-subsequence/","length-of-longest-fibonacci-subsequence")</f>
        <v/>
      </c>
      <c r="D1145" t="inlineStr">
        <is>
          <t>-</t>
        </is>
      </c>
      <c r="E1145" t="inlineStr">
        <is>
          <t>Medium</t>
        </is>
      </c>
      <c r="F1145" t="n">
        <v>21</v>
      </c>
      <c r="G1145" t="inlineStr">
        <is>
          <t>Dynamic Programming Level 1</t>
        </is>
      </c>
      <c r="H1145" t="inlineStr">
        <is>
          <t>Kadane Algo</t>
        </is>
      </c>
      <c r="I1145" t="inlineStr">
        <is>
          <t>Leetcode</t>
        </is>
      </c>
      <c r="J1145" t="inlineStr">
        <is>
          <t>Problem</t>
        </is>
      </c>
    </row>
    <row r="1146">
      <c r="A1146" t="n">
        <v>1529</v>
      </c>
      <c r="B1146" t="inlineStr">
        <is>
          <t>DFS Traversal</t>
        </is>
      </c>
      <c r="C1146">
        <f>HYPERLINK("https://www.naukri.com/code360/problems/dfs-traversal_630462","Solve Problem")</f>
        <v/>
      </c>
      <c r="D1146" t="inlineStr">
        <is>
          <t>-</t>
        </is>
      </c>
      <c r="E1146" t="inlineStr">
        <is>
          <t>Easy</t>
        </is>
      </c>
      <c r="F1146" t="n">
        <v>22</v>
      </c>
      <c r="G1146" t="inlineStr">
        <is>
          <t>Graphs</t>
        </is>
      </c>
      <c r="H1146" t="inlineStr">
        <is>
          <t>DFS and BFS on Graphs</t>
        </is>
      </c>
      <c r="I1146" t="inlineStr">
        <is>
          <t>Naukri</t>
        </is>
      </c>
      <c r="J1146" t="inlineStr">
        <is>
          <t>Problem</t>
        </is>
      </c>
    </row>
    <row r="1147">
      <c r="A1147" t="n">
        <v>902</v>
      </c>
      <c r="B1147" t="inlineStr">
        <is>
          <t>Find if Path Exists in Graph</t>
        </is>
      </c>
      <c r="C1147">
        <f>HYPERLINK("https://leetcode.com/problems/find-if-path-exists-in-graph/description/","find-if-path-exists-in-graph")</f>
        <v/>
      </c>
      <c r="D1147" t="inlineStr">
        <is>
          <t>-</t>
        </is>
      </c>
      <c r="E1147" t="inlineStr">
        <is>
          <t>Easy</t>
        </is>
      </c>
      <c r="F1147" t="n">
        <v>22</v>
      </c>
      <c r="G1147" t="inlineStr">
        <is>
          <t>Graphs</t>
        </is>
      </c>
      <c r="H1147" t="inlineStr">
        <is>
          <t>DFS and BFS on Graphs</t>
        </is>
      </c>
      <c r="I1147" t="inlineStr">
        <is>
          <t>Leetcode</t>
        </is>
      </c>
      <c r="J1147" t="inlineStr">
        <is>
          <t>Problem</t>
        </is>
      </c>
    </row>
    <row r="1148">
      <c r="A1148" t="n">
        <v>4</v>
      </c>
      <c r="B1148" t="inlineStr">
        <is>
          <t>Keys and Rooms</t>
        </is>
      </c>
      <c r="C1148">
        <f>HYPERLINK("https://leetcode.com/problems/keys-and-rooms/description/","keys-and-rooms")</f>
        <v/>
      </c>
      <c r="D1148" t="inlineStr">
        <is>
          <t>-</t>
        </is>
      </c>
      <c r="E1148" t="inlineStr">
        <is>
          <t>Medium</t>
        </is>
      </c>
      <c r="F1148" t="n">
        <v>22</v>
      </c>
      <c r="G1148" t="inlineStr">
        <is>
          <t>Graphs</t>
        </is>
      </c>
      <c r="H1148" t="inlineStr">
        <is>
          <t>DFS and BFS on Graphs</t>
        </is>
      </c>
      <c r="I1148" t="inlineStr">
        <is>
          <t>Leetcode</t>
        </is>
      </c>
      <c r="J1148" t="inlineStr">
        <is>
          <t>Problem</t>
        </is>
      </c>
    </row>
    <row r="1149">
      <c r="A1149" t="n">
        <v>3</v>
      </c>
      <c r="B1149" t="inlineStr">
        <is>
          <t>Number of Provinces</t>
        </is>
      </c>
      <c r="C1149">
        <f>HYPERLINK("https://leetcode.com/problems/number-of-provinces/description/","number-of-provinces")</f>
        <v/>
      </c>
      <c r="D1149" t="inlineStr">
        <is>
          <t>-</t>
        </is>
      </c>
      <c r="E1149" t="inlineStr">
        <is>
          <t>Medium</t>
        </is>
      </c>
      <c r="F1149" t="n">
        <v>22</v>
      </c>
      <c r="G1149" t="inlineStr">
        <is>
          <t>Graphs</t>
        </is>
      </c>
      <c r="H1149" t="inlineStr">
        <is>
          <t>DFS and BFS on Graphs</t>
        </is>
      </c>
      <c r="I1149" t="inlineStr">
        <is>
          <t>Leetcode</t>
        </is>
      </c>
      <c r="J1149" t="inlineStr">
        <is>
          <t>Problem</t>
        </is>
      </c>
    </row>
    <row r="1150">
      <c r="A1150" t="n">
        <v>950</v>
      </c>
      <c r="B1150" t="inlineStr">
        <is>
          <t>Count the Number of Complete Components</t>
        </is>
      </c>
      <c r="C1150">
        <f>HYPERLINK("https://leetcode.com/problems/count-the-number-of-complete-components/description/","count-the-number-of-complete-components")</f>
        <v/>
      </c>
      <c r="D1150" t="inlineStr">
        <is>
          <t>-</t>
        </is>
      </c>
      <c r="E1150" t="inlineStr">
        <is>
          <t>Medium</t>
        </is>
      </c>
      <c r="F1150" t="n">
        <v>22</v>
      </c>
      <c r="G1150" t="inlineStr">
        <is>
          <t>Graphs</t>
        </is>
      </c>
      <c r="H1150" t="inlineStr">
        <is>
          <t>DFS and BFS on Graphs</t>
        </is>
      </c>
      <c r="I1150" t="inlineStr">
        <is>
          <t>Leetcode</t>
        </is>
      </c>
      <c r="J1150" t="inlineStr">
        <is>
          <t>Problem</t>
        </is>
      </c>
    </row>
    <row r="1151">
      <c r="A1151" t="n">
        <v>978</v>
      </c>
      <c r="B1151" t="inlineStr">
        <is>
          <t>Reorder Routes to Make All Paths Lead to the City Zero</t>
        </is>
      </c>
      <c r="C1151">
        <f>HYPERLINK("https://leetcode.com/problems/reorder-routes-to-make-all-paths-lead-to-the-city-zero/description/","reorder-routes-to-make-all-paths-lead-to-the-city-zero")</f>
        <v/>
      </c>
      <c r="D1151" t="inlineStr">
        <is>
          <t>-</t>
        </is>
      </c>
      <c r="E1151" t="inlineStr">
        <is>
          <t>Medium</t>
        </is>
      </c>
      <c r="F1151" t="n">
        <v>22</v>
      </c>
      <c r="G1151" t="inlineStr">
        <is>
          <t>Graphs</t>
        </is>
      </c>
      <c r="H1151" t="inlineStr">
        <is>
          <t>DFS and BFS on Graphs</t>
        </is>
      </c>
      <c r="I1151" t="inlineStr">
        <is>
          <t>Leetcode</t>
        </is>
      </c>
      <c r="J1151" t="inlineStr">
        <is>
          <t>Problem</t>
        </is>
      </c>
    </row>
    <row r="1152">
      <c r="A1152" t="n">
        <v>957</v>
      </c>
      <c r="B1152" t="inlineStr">
        <is>
          <t>Longest Cycle in a Graph</t>
        </is>
      </c>
      <c r="C1152">
        <f>HYPERLINK("https://leetcode.com/problems/longest-cycle-in-a-graph/description/","longest-cycle-in-a-graph")</f>
        <v/>
      </c>
      <c r="D1152" t="inlineStr">
        <is>
          <t>-</t>
        </is>
      </c>
      <c r="E1152" t="inlineStr">
        <is>
          <t>Hard</t>
        </is>
      </c>
      <c r="F1152" t="n">
        <v>22</v>
      </c>
      <c r="G1152" t="inlineStr">
        <is>
          <t>Graphs</t>
        </is>
      </c>
      <c r="H1152" t="inlineStr">
        <is>
          <t>DFS and BFS on Graphs</t>
        </is>
      </c>
      <c r="I1152" t="inlineStr">
        <is>
          <t>Leetcode</t>
        </is>
      </c>
      <c r="J1152" t="inlineStr">
        <is>
          <t>Problem</t>
        </is>
      </c>
    </row>
    <row r="1153">
      <c r="A1153" t="n">
        <v>1530</v>
      </c>
      <c r="B1153" t="inlineStr">
        <is>
          <t>BFS in Graph</t>
        </is>
      </c>
      <c r="C1153">
        <f>HYPERLINK("https://www.naukri.com/code360/problems/bfs-in-graph_973002","Solve Problem")</f>
        <v/>
      </c>
      <c r="D1153" t="inlineStr">
        <is>
          <t>-</t>
        </is>
      </c>
      <c r="E1153" t="inlineStr">
        <is>
          <t>Easy</t>
        </is>
      </c>
      <c r="F1153" t="n">
        <v>22</v>
      </c>
      <c r="G1153" t="inlineStr">
        <is>
          <t>Graphs</t>
        </is>
      </c>
      <c r="H1153" t="inlineStr">
        <is>
          <t>DFS and BFS on Graphs</t>
        </is>
      </c>
      <c r="I1153" t="inlineStr">
        <is>
          <t>Naukri</t>
        </is>
      </c>
      <c r="J1153" t="inlineStr">
        <is>
          <t>Problem</t>
        </is>
      </c>
    </row>
    <row r="1154">
      <c r="A1154" t="n">
        <v>15</v>
      </c>
      <c r="B1154" t="inlineStr">
        <is>
          <t>Snakes and Ladders</t>
        </is>
      </c>
      <c r="C1154">
        <f>HYPERLINK("https://leetcode.com/problems/snakes-and-ladders/description/","snakes-and-ladders")</f>
        <v/>
      </c>
      <c r="D1154" t="inlineStr">
        <is>
          <t>-</t>
        </is>
      </c>
      <c r="E1154" t="inlineStr">
        <is>
          <t>Medium</t>
        </is>
      </c>
      <c r="F1154" t="n">
        <v>22</v>
      </c>
      <c r="G1154" t="inlineStr">
        <is>
          <t>Graphs</t>
        </is>
      </c>
      <c r="H1154" t="inlineStr">
        <is>
          <t>DFS and BFS on Graphs</t>
        </is>
      </c>
      <c r="I1154" t="inlineStr">
        <is>
          <t>Leetcode</t>
        </is>
      </c>
      <c r="J1154" t="inlineStr">
        <is>
          <t>Problem</t>
        </is>
      </c>
    </row>
    <row r="1155">
      <c r="A1155" t="n">
        <v>964</v>
      </c>
      <c r="B1155" t="inlineStr">
        <is>
          <t>Open the Lock</t>
        </is>
      </c>
      <c r="C1155">
        <f>HYPERLINK("https://leetcode.com/problems/open-the-lock/description/","open-the-lock")</f>
        <v/>
      </c>
      <c r="D1155" t="inlineStr">
        <is>
          <t>-</t>
        </is>
      </c>
      <c r="E1155" t="inlineStr">
        <is>
          <t>Medium</t>
        </is>
      </c>
      <c r="F1155" t="n">
        <v>22</v>
      </c>
      <c r="G1155" t="inlineStr">
        <is>
          <t>Graphs</t>
        </is>
      </c>
      <c r="H1155" t="inlineStr">
        <is>
          <t>DFS and BFS on Graphs</t>
        </is>
      </c>
      <c r="I1155" t="inlineStr">
        <is>
          <t>Leetcode</t>
        </is>
      </c>
      <c r="J1155" t="inlineStr">
        <is>
          <t>Problem</t>
        </is>
      </c>
    </row>
    <row r="1156">
      <c r="A1156" t="n">
        <v>1431</v>
      </c>
      <c r="B1156" t="inlineStr">
        <is>
          <t>Round Trip</t>
        </is>
      </c>
      <c r="C1156">
        <f>HYPERLINK("https://cses.fi/problemset/task/1667","Solve Problem")</f>
        <v/>
      </c>
      <c r="D1156" t="inlineStr">
        <is>
          <t>-</t>
        </is>
      </c>
      <c r="E1156" t="inlineStr">
        <is>
          <t>Medium</t>
        </is>
      </c>
      <c r="F1156" t="n">
        <v>22</v>
      </c>
      <c r="G1156" t="inlineStr">
        <is>
          <t>Graphs</t>
        </is>
      </c>
      <c r="H1156" t="inlineStr">
        <is>
          <t>DFS and BFS on Graphs</t>
        </is>
      </c>
      <c r="I1156" t="inlineStr">
        <is>
          <t>Cses</t>
        </is>
      </c>
      <c r="J1156" t="inlineStr">
        <is>
          <t>Problem</t>
        </is>
      </c>
    </row>
    <row r="1157">
      <c r="A1157" t="n">
        <v>8</v>
      </c>
      <c r="B1157" t="inlineStr">
        <is>
          <t>Word Ladder</t>
        </is>
      </c>
      <c r="C1157">
        <f>HYPERLINK("https://leetcode.com/problems/word-ladder/description/","word-ladder")</f>
        <v/>
      </c>
      <c r="D1157" t="inlineStr">
        <is>
          <t>-</t>
        </is>
      </c>
      <c r="E1157" t="inlineStr">
        <is>
          <t>Hard</t>
        </is>
      </c>
      <c r="F1157" t="n">
        <v>22</v>
      </c>
      <c r="G1157" t="inlineStr">
        <is>
          <t>Graphs</t>
        </is>
      </c>
      <c r="H1157" t="inlineStr">
        <is>
          <t>DFS and BFS on Graphs</t>
        </is>
      </c>
      <c r="I1157" t="inlineStr">
        <is>
          <t>Leetcode</t>
        </is>
      </c>
      <c r="J1157" t="inlineStr">
        <is>
          <t>Problem</t>
        </is>
      </c>
    </row>
    <row r="1158">
      <c r="A1158" t="n">
        <v>1415</v>
      </c>
      <c r="B1158" t="inlineStr">
        <is>
          <t>Valid BFS?</t>
        </is>
      </c>
      <c r="C1158">
        <f>HYPERLINK("https://codeforces.com/problemset/problem/1037/D","Solve Problem")</f>
        <v/>
      </c>
      <c r="D1158" t="inlineStr">
        <is>
          <t>-</t>
        </is>
      </c>
      <c r="E1158" t="inlineStr">
        <is>
          <t>Hard</t>
        </is>
      </c>
      <c r="F1158" t="n">
        <v>22</v>
      </c>
      <c r="G1158" t="inlineStr">
        <is>
          <t>Graphs</t>
        </is>
      </c>
      <c r="H1158" t="inlineStr">
        <is>
          <t>DFS and BFS on Graphs</t>
        </is>
      </c>
      <c r="I1158" t="inlineStr">
        <is>
          <t>Codeforces</t>
        </is>
      </c>
      <c r="J1158" t="inlineStr">
        <is>
          <t>Problem</t>
        </is>
      </c>
    </row>
    <row r="1159">
      <c r="A1159" t="n">
        <v>888</v>
      </c>
      <c r="B1159" t="inlineStr">
        <is>
          <t>Count the Number of Houses at a Certain Distance I</t>
        </is>
      </c>
      <c r="C1159">
        <f>HYPERLINK("https://leetcode.com/problems/count-the-number-of-houses-at-a-certain-distance-i/description/","count-the-number-of-houses-at-a-certain-distance-i")</f>
        <v/>
      </c>
      <c r="D1159" t="inlineStr">
        <is>
          <t>-</t>
        </is>
      </c>
      <c r="E1159" t="inlineStr">
        <is>
          <t>Medium</t>
        </is>
      </c>
      <c r="F1159" t="n">
        <v>22</v>
      </c>
      <c r="G1159" t="inlineStr">
        <is>
          <t>Graphs</t>
        </is>
      </c>
      <c r="H1159" t="inlineStr">
        <is>
          <t>DFS and BFS on Graphs</t>
        </is>
      </c>
      <c r="I1159" t="inlineStr">
        <is>
          <t>Leetcode</t>
        </is>
      </c>
      <c r="J1159" t="inlineStr">
        <is>
          <t>Problem</t>
        </is>
      </c>
    </row>
    <row r="1160">
      <c r="A1160" t="n">
        <v>16</v>
      </c>
      <c r="B1160" t="inlineStr">
        <is>
          <t>As Far from Land as Possible</t>
        </is>
      </c>
      <c r="C1160">
        <f>HYPERLINK("https://leetcode.com/problems/as-far-from-land-as-possible/description/","as-far-from-land-as-possible")</f>
        <v/>
      </c>
      <c r="D1160" t="inlineStr">
        <is>
          <t>-</t>
        </is>
      </c>
      <c r="E1160" t="inlineStr">
        <is>
          <t>Medium</t>
        </is>
      </c>
      <c r="F1160" t="n">
        <v>22</v>
      </c>
      <c r="G1160" t="inlineStr">
        <is>
          <t>Graphs</t>
        </is>
      </c>
      <c r="H1160" t="inlineStr">
        <is>
          <t>DFS and BFS on Graphs</t>
        </is>
      </c>
      <c r="I1160" t="inlineStr">
        <is>
          <t>Leetcode</t>
        </is>
      </c>
      <c r="J1160" t="inlineStr">
        <is>
          <t>Problem</t>
        </is>
      </c>
    </row>
    <row r="1161">
      <c r="A1161" t="n">
        <v>937</v>
      </c>
      <c r="B1161" t="inlineStr">
        <is>
          <t>Minimum Operations to Convert Number</t>
        </is>
      </c>
      <c r="C1161">
        <f>HYPERLINK("https://leetcode.com/problems/minimum-operations-to-convert-number/description/","minimum-operations-to-convert-number")</f>
        <v/>
      </c>
      <c r="D1161" t="inlineStr">
        <is>
          <t>-</t>
        </is>
      </c>
      <c r="E1161" t="inlineStr">
        <is>
          <t>Medium</t>
        </is>
      </c>
      <c r="F1161" t="n">
        <v>22</v>
      </c>
      <c r="G1161" t="inlineStr">
        <is>
          <t>Graphs</t>
        </is>
      </c>
      <c r="H1161" t="inlineStr">
        <is>
          <t>DFS and BFS on Graphs</t>
        </is>
      </c>
      <c r="I1161" t="inlineStr">
        <is>
          <t>Leetcode</t>
        </is>
      </c>
      <c r="J1161" t="inlineStr">
        <is>
          <t>Problem</t>
        </is>
      </c>
    </row>
    <row r="1162">
      <c r="A1162" t="n">
        <v>938</v>
      </c>
      <c r="B1162" t="inlineStr">
        <is>
          <t>Minimum Score of a Path Between Two Cities</t>
        </is>
      </c>
      <c r="C1162">
        <f>HYPERLINK("https://leetcode.com/problems/minimum-score-of-a-path-between-two-cities/description/","minimum-score-of-a-path-between-two-cities")</f>
        <v/>
      </c>
      <c r="D1162" t="inlineStr">
        <is>
          <t>-</t>
        </is>
      </c>
      <c r="E1162" t="inlineStr">
        <is>
          <t>Medium</t>
        </is>
      </c>
      <c r="F1162" t="n">
        <v>22</v>
      </c>
      <c r="G1162" t="inlineStr">
        <is>
          <t>Graphs</t>
        </is>
      </c>
      <c r="H1162" t="inlineStr">
        <is>
          <t>DFS and BFS on Graphs</t>
        </is>
      </c>
      <c r="I1162" t="inlineStr">
        <is>
          <t>Leetcode</t>
        </is>
      </c>
      <c r="J1162" t="inlineStr">
        <is>
          <t>Problem</t>
        </is>
      </c>
    </row>
    <row r="1163">
      <c r="A1163" t="n">
        <v>1005</v>
      </c>
      <c r="B1163" t="inlineStr">
        <is>
          <t>Shortest Path with Alternating Colors</t>
        </is>
      </c>
      <c r="C1163">
        <f>HYPERLINK("https://leetcode.com/problems/shortest-path-with-alternating-colors/description/","shortest-path-with-alternating-colors")</f>
        <v/>
      </c>
      <c r="D1163" t="inlineStr">
        <is>
          <t>-</t>
        </is>
      </c>
      <c r="E1163" t="inlineStr">
        <is>
          <t>Medium</t>
        </is>
      </c>
      <c r="F1163" t="n">
        <v>22</v>
      </c>
      <c r="G1163" t="inlineStr">
        <is>
          <t>Graphs</t>
        </is>
      </c>
      <c r="H1163" t="inlineStr">
        <is>
          <t>DFS and BFS on Graphs</t>
        </is>
      </c>
      <c r="I1163" t="inlineStr">
        <is>
          <t>Leetcode</t>
        </is>
      </c>
      <c r="J1163" t="inlineStr">
        <is>
          <t>Problem</t>
        </is>
      </c>
    </row>
    <row r="1164">
      <c r="A1164" t="n">
        <v>936</v>
      </c>
      <c r="B1164" t="inlineStr">
        <is>
          <t>Minimum Number of Operations to Make X and Y Equal</t>
        </is>
      </c>
      <c r="C1164">
        <f>HYPERLINK("https://leetcode.com/problems/minimum-number-of-operations-to-make-x-and-y-equal/description/","minimum-number-of-operations-to-make-x-and-y-equal")</f>
        <v/>
      </c>
      <c r="D1164" t="inlineStr">
        <is>
          <t>-</t>
        </is>
      </c>
      <c r="E1164" t="inlineStr">
        <is>
          <t>Medium</t>
        </is>
      </c>
      <c r="F1164" t="n">
        <v>22</v>
      </c>
      <c r="G1164" t="inlineStr">
        <is>
          <t>Graphs</t>
        </is>
      </c>
      <c r="H1164" t="inlineStr">
        <is>
          <t>DFS and BFS on Graphs</t>
        </is>
      </c>
      <c r="I1164" t="inlineStr">
        <is>
          <t>Leetcode</t>
        </is>
      </c>
      <c r="J1164" t="inlineStr">
        <is>
          <t>Problem</t>
        </is>
      </c>
    </row>
    <row r="1165">
      <c r="A1165" t="n">
        <v>17</v>
      </c>
      <c r="B1165" t="inlineStr">
        <is>
          <t>Shortest Path Visiting All Nodes</t>
        </is>
      </c>
      <c r="C1165">
        <f>HYPERLINK("https://leetcode.com/problems/shortest-path-visiting-all-nodes/","shortest-path-visiting-all-nodes")</f>
        <v/>
      </c>
      <c r="D1165" t="inlineStr">
        <is>
          <t>-</t>
        </is>
      </c>
      <c r="E1165" t="inlineStr">
        <is>
          <t>Hard</t>
        </is>
      </c>
      <c r="F1165" t="n">
        <v>22</v>
      </c>
      <c r="G1165" t="inlineStr">
        <is>
          <t>Graphs</t>
        </is>
      </c>
      <c r="H1165" t="inlineStr">
        <is>
          <t>DFS and BFS on Graphs</t>
        </is>
      </c>
      <c r="I1165" t="inlineStr">
        <is>
          <t>Leetcode</t>
        </is>
      </c>
      <c r="J1165" t="inlineStr">
        <is>
          <t>Problem</t>
        </is>
      </c>
    </row>
    <row r="1166">
      <c r="A1166" t="n">
        <v>955</v>
      </c>
      <c r="B1166" t="inlineStr">
        <is>
          <t>Jump Game III</t>
        </is>
      </c>
      <c r="C1166">
        <f>HYPERLINK("https://leetcode.com/problems/jump-game-iii/description/","jump-game-iii")</f>
        <v/>
      </c>
      <c r="D1166" t="inlineStr">
        <is>
          <t>-</t>
        </is>
      </c>
      <c r="E1166" t="inlineStr">
        <is>
          <t>Medium</t>
        </is>
      </c>
      <c r="F1166" t="n">
        <v>22</v>
      </c>
      <c r="G1166" t="inlineStr">
        <is>
          <t>Graphs</t>
        </is>
      </c>
      <c r="H1166" t="inlineStr">
        <is>
          <t>DFS and BFS on Graphs</t>
        </is>
      </c>
      <c r="I1166" t="inlineStr">
        <is>
          <t>Leetcode</t>
        </is>
      </c>
      <c r="J1166" t="inlineStr">
        <is>
          <t>Problem</t>
        </is>
      </c>
    </row>
    <row r="1167">
      <c r="A1167" t="n">
        <v>949</v>
      </c>
      <c r="B1167" t="inlineStr">
        <is>
          <t>Clone Graph</t>
        </is>
      </c>
      <c r="C1167">
        <f>HYPERLINK("https://leetcode.com/problems/clone-graph/description/","clone-graph")</f>
        <v/>
      </c>
      <c r="D1167" t="inlineStr">
        <is>
          <t>-</t>
        </is>
      </c>
      <c r="E1167" t="inlineStr">
        <is>
          <t>Medium</t>
        </is>
      </c>
      <c r="F1167" t="n">
        <v>22</v>
      </c>
      <c r="G1167" t="inlineStr">
        <is>
          <t>Graphs</t>
        </is>
      </c>
      <c r="H1167" t="inlineStr">
        <is>
          <t>DFS and BFS on Graphs</t>
        </is>
      </c>
      <c r="I1167" t="inlineStr">
        <is>
          <t>Leetcode</t>
        </is>
      </c>
      <c r="J1167" t="inlineStr">
        <is>
          <t>Problem</t>
        </is>
      </c>
    </row>
    <row r="1168">
      <c r="A1168" t="n">
        <v>915</v>
      </c>
      <c r="B1168" t="inlineStr">
        <is>
          <t>Last Day Where You Can Still Cross</t>
        </is>
      </c>
      <c r="C1168">
        <f>HYPERLINK("https://leetcode.com/problems/last-day-where-you-can-still-cross/description/","last-day-where-you-can-still-cross")</f>
        <v/>
      </c>
      <c r="D1168" t="inlineStr">
        <is>
          <t>-</t>
        </is>
      </c>
      <c r="E1168" t="inlineStr">
        <is>
          <t>Hard</t>
        </is>
      </c>
      <c r="F1168" t="n">
        <v>22</v>
      </c>
      <c r="G1168" t="inlineStr">
        <is>
          <t>Graphs</t>
        </is>
      </c>
      <c r="H1168" t="inlineStr">
        <is>
          <t>DFS and BFS on Graphs</t>
        </is>
      </c>
      <c r="I1168" t="inlineStr">
        <is>
          <t>Leetcode</t>
        </is>
      </c>
      <c r="J1168" t="inlineStr">
        <is>
          <t>Problem</t>
        </is>
      </c>
    </row>
    <row r="1169">
      <c r="A1169" t="n">
        <v>1006</v>
      </c>
      <c r="B1169" t="inlineStr">
        <is>
          <t>Sliding Puzzle</t>
        </is>
      </c>
      <c r="C1169">
        <f>HYPERLINK("https://leetcode.com/problems/sliding-puzzle/description/","sliding-puzzle")</f>
        <v/>
      </c>
      <c r="D1169" t="inlineStr">
        <is>
          <t>-</t>
        </is>
      </c>
      <c r="E1169" t="inlineStr">
        <is>
          <t>Hard</t>
        </is>
      </c>
      <c r="F1169" t="n">
        <v>22</v>
      </c>
      <c r="G1169" t="inlineStr">
        <is>
          <t>Graphs</t>
        </is>
      </c>
      <c r="H1169" t="inlineStr">
        <is>
          <t>DFS and BFS on Graphs</t>
        </is>
      </c>
      <c r="I1169" t="inlineStr">
        <is>
          <t>Leetcode</t>
        </is>
      </c>
      <c r="J1169" t="inlineStr">
        <is>
          <t>Problem</t>
        </is>
      </c>
    </row>
    <row r="1170">
      <c r="A1170" t="n">
        <v>959</v>
      </c>
      <c r="B1170" t="inlineStr">
        <is>
          <t>Maximum Candies You Can Get from Boxes</t>
        </is>
      </c>
      <c r="C1170">
        <f>HYPERLINK("https://leetcode.com/problems/maximum-candies-you-can-get-from-boxes/description/","maximum-candies-you-can-get-from-boxes")</f>
        <v/>
      </c>
      <c r="D1170" t="inlineStr">
        <is>
          <t>-</t>
        </is>
      </c>
      <c r="E1170" t="inlineStr">
        <is>
          <t>Hard</t>
        </is>
      </c>
      <c r="F1170" t="n">
        <v>22</v>
      </c>
      <c r="G1170" t="inlineStr">
        <is>
          <t>Graphs</t>
        </is>
      </c>
      <c r="H1170" t="inlineStr">
        <is>
          <t>DFS and BFS on Graphs</t>
        </is>
      </c>
      <c r="I1170" t="inlineStr">
        <is>
          <t>Leetcode</t>
        </is>
      </c>
      <c r="J1170" t="inlineStr">
        <is>
          <t>Problem</t>
        </is>
      </c>
    </row>
    <row r="1171">
      <c r="A1171" t="n">
        <v>985</v>
      </c>
      <c r="B1171" t="inlineStr">
        <is>
          <t>Shortest Path to Get All Keys</t>
        </is>
      </c>
      <c r="C1171">
        <f>HYPERLINK("https://leetcode.com/problems/shortest-path-to-get-all-keys/description/","shortest-path-to-get-all-keys")</f>
        <v/>
      </c>
      <c r="D1171" t="inlineStr">
        <is>
          <t>-</t>
        </is>
      </c>
      <c r="E1171" t="inlineStr">
        <is>
          <t>Hard</t>
        </is>
      </c>
      <c r="F1171" t="n">
        <v>22</v>
      </c>
      <c r="G1171" t="inlineStr">
        <is>
          <t>Graphs</t>
        </is>
      </c>
      <c r="H1171" t="inlineStr">
        <is>
          <t>DFS and BFS on Graphs</t>
        </is>
      </c>
      <c r="I1171" t="inlineStr">
        <is>
          <t>Leetcode</t>
        </is>
      </c>
      <c r="J1171" t="inlineStr">
        <is>
          <t>Problem</t>
        </is>
      </c>
    </row>
    <row r="1172">
      <c r="A1172" t="n">
        <v>914</v>
      </c>
      <c r="B1172" t="inlineStr">
        <is>
          <t>Jump Game IV</t>
        </is>
      </c>
      <c r="C1172">
        <f>HYPERLINK("https://leetcode.com/problems/jump-game-iv/description/","jump-game-iv")</f>
        <v/>
      </c>
      <c r="D1172" t="inlineStr">
        <is>
          <t>-</t>
        </is>
      </c>
      <c r="E1172" t="inlineStr">
        <is>
          <t>Hard</t>
        </is>
      </c>
      <c r="F1172" t="n">
        <v>22</v>
      </c>
      <c r="G1172" t="inlineStr">
        <is>
          <t>Graphs</t>
        </is>
      </c>
      <c r="H1172" t="inlineStr">
        <is>
          <t>DFS and BFS on Graphs</t>
        </is>
      </c>
      <c r="I1172" t="inlineStr">
        <is>
          <t>Leetcode</t>
        </is>
      </c>
      <c r="J1172" t="inlineStr">
        <is>
          <t>Problem</t>
        </is>
      </c>
    </row>
    <row r="1173">
      <c r="A1173" t="n">
        <v>991</v>
      </c>
      <c r="B1173" t="inlineStr">
        <is>
          <t>Word Ladder II</t>
        </is>
      </c>
      <c r="C1173">
        <f>HYPERLINK("https://leetcode.com/problems/word-ladder-ii/description/","word-ladder-ii")</f>
        <v/>
      </c>
      <c r="D1173" t="inlineStr">
        <is>
          <t>-</t>
        </is>
      </c>
      <c r="E1173" t="inlineStr">
        <is>
          <t>Hard</t>
        </is>
      </c>
      <c r="F1173" t="n">
        <v>22</v>
      </c>
      <c r="G1173" t="inlineStr">
        <is>
          <t>Graphs</t>
        </is>
      </c>
      <c r="H1173" t="inlineStr">
        <is>
          <t>DFS and BFS on Graphs</t>
        </is>
      </c>
      <c r="I1173" t="inlineStr">
        <is>
          <t>Leetcode</t>
        </is>
      </c>
      <c r="J1173" t="inlineStr">
        <is>
          <t>Problem</t>
        </is>
      </c>
    </row>
    <row r="1174">
      <c r="A1174" t="n">
        <v>895</v>
      </c>
      <c r="B1174" t="inlineStr">
        <is>
          <t>Escape the Spreading Fire</t>
        </is>
      </c>
      <c r="C1174">
        <f>HYPERLINK("https://leetcode.com/problems/escape-the-spreading-fire/","escape-the-spreading-fire")</f>
        <v/>
      </c>
      <c r="D1174" t="inlineStr">
        <is>
          <t>-</t>
        </is>
      </c>
      <c r="E1174" t="inlineStr">
        <is>
          <t>Hard</t>
        </is>
      </c>
      <c r="F1174" t="n">
        <v>22</v>
      </c>
      <c r="G1174" t="inlineStr">
        <is>
          <t>Graphs</t>
        </is>
      </c>
      <c r="H1174" t="inlineStr">
        <is>
          <t>DFS and BFS on Graphs</t>
        </is>
      </c>
      <c r="I1174" t="inlineStr">
        <is>
          <t>Leetcode</t>
        </is>
      </c>
      <c r="J1174" t="inlineStr">
        <is>
          <t>Problem</t>
        </is>
      </c>
    </row>
    <row r="1175">
      <c r="A1175" t="n">
        <v>1474</v>
      </c>
      <c r="B1175" t="inlineStr">
        <is>
          <t>Detect Cycle in an Undirected Graph (GeeksforGeeks)</t>
        </is>
      </c>
      <c r="C1175">
        <f>HYPERLINK("https://www.geeksforgeeks.org/problems/detect-cycle-in-an-undirected-graph/0","Solve Problem")</f>
        <v/>
      </c>
      <c r="D1175" t="inlineStr">
        <is>
          <t>-</t>
        </is>
      </c>
      <c r="E1175" t="inlineStr">
        <is>
          <t>Medium</t>
        </is>
      </c>
      <c r="F1175" t="n">
        <v>22</v>
      </c>
      <c r="G1175" t="inlineStr">
        <is>
          <t>Graphs</t>
        </is>
      </c>
      <c r="H1175" t="inlineStr">
        <is>
          <t>Cycle Detection</t>
        </is>
      </c>
      <c r="I1175" t="inlineStr">
        <is>
          <t>Geeksforgeeks</t>
        </is>
      </c>
      <c r="J1175" t="inlineStr">
        <is>
          <t>Problem</t>
        </is>
      </c>
    </row>
    <row r="1176">
      <c r="A1176" t="n">
        <v>1471</v>
      </c>
      <c r="B1176" t="inlineStr">
        <is>
          <t>Detect Cycle in a Directed Graph (GeeksforGeeks)</t>
        </is>
      </c>
      <c r="C1176">
        <f>HYPERLINK("https://www.geeksforgeeks.org/problems/detect-cycle-in-a-directed-graph/1","Solve Problem")</f>
        <v/>
      </c>
      <c r="D1176" t="inlineStr">
        <is>
          <t>-</t>
        </is>
      </c>
      <c r="E1176" t="inlineStr">
        <is>
          <t>Medium</t>
        </is>
      </c>
      <c r="F1176" t="n">
        <v>22</v>
      </c>
      <c r="G1176" t="inlineStr">
        <is>
          <t>Graphs</t>
        </is>
      </c>
      <c r="H1176" t="inlineStr">
        <is>
          <t>Cycle Detection</t>
        </is>
      </c>
      <c r="I1176" t="inlineStr">
        <is>
          <t>Geeksforgeeks</t>
        </is>
      </c>
      <c r="J1176" t="inlineStr">
        <is>
          <t>Problem</t>
        </is>
      </c>
    </row>
    <row r="1177">
      <c r="A1177" t="n">
        <v>1526</v>
      </c>
      <c r="B1177" t="inlineStr">
        <is>
          <t>Check if a Graph Has a Cycle of Odd Length</t>
        </is>
      </c>
      <c r="C1177">
        <f>HYPERLINK("https://www.naukri.com/code360/library/check-if-a-graph-has-a-cycle-of-odd-length","Solve Problem")</f>
        <v/>
      </c>
      <c r="D1177" t="inlineStr">
        <is>
          <t>-</t>
        </is>
      </c>
      <c r="E1177" t="inlineStr">
        <is>
          <t>Medium</t>
        </is>
      </c>
      <c r="F1177" t="n">
        <v>22</v>
      </c>
      <c r="G1177" t="inlineStr">
        <is>
          <t>Graphs</t>
        </is>
      </c>
      <c r="H1177" t="inlineStr">
        <is>
          <t>Cycle Detection</t>
        </is>
      </c>
      <c r="I1177" t="inlineStr">
        <is>
          <t>Naukri</t>
        </is>
      </c>
      <c r="J1177" t="inlineStr">
        <is>
          <t>Problem</t>
        </is>
      </c>
    </row>
    <row r="1178">
      <c r="A1178" t="n">
        <v>893</v>
      </c>
      <c r="B1178" t="inlineStr">
        <is>
          <t>Detect Cycles in 2D Grid</t>
        </is>
      </c>
      <c r="C1178">
        <f>HYPERLINK("https://leetcode.com/problems/detect-cycles-in-2d-grid/","detect-cycles-in-2d-grid")</f>
        <v/>
      </c>
      <c r="D1178" t="inlineStr">
        <is>
          <t>-</t>
        </is>
      </c>
      <c r="E1178" t="inlineStr">
        <is>
          <t>Medium</t>
        </is>
      </c>
      <c r="F1178" t="n">
        <v>22</v>
      </c>
      <c r="G1178" t="inlineStr">
        <is>
          <t>Graphs</t>
        </is>
      </c>
      <c r="H1178" t="inlineStr">
        <is>
          <t>Cycle Detection</t>
        </is>
      </c>
      <c r="I1178" t="inlineStr">
        <is>
          <t>Leetcode</t>
        </is>
      </c>
      <c r="J1178" t="inlineStr">
        <is>
          <t>Problem</t>
        </is>
      </c>
    </row>
    <row r="1179">
      <c r="A1179" t="n">
        <v>983</v>
      </c>
      <c r="B1179" t="inlineStr">
        <is>
          <t>Shortest Cycle in a Graph</t>
        </is>
      </c>
      <c r="C1179">
        <f>HYPERLINK("https://leetcode.com/problems/shortest-cycle-in-a-graph/description/","shortest-cycle-in-a-graph")</f>
        <v/>
      </c>
      <c r="D1179" t="inlineStr">
        <is>
          <t>-</t>
        </is>
      </c>
      <c r="E1179" t="inlineStr">
        <is>
          <t>Hard</t>
        </is>
      </c>
      <c r="F1179" t="n">
        <v>22</v>
      </c>
      <c r="G1179" t="inlineStr">
        <is>
          <t>Graphs</t>
        </is>
      </c>
      <c r="H1179" t="inlineStr">
        <is>
          <t>Cycle Detection</t>
        </is>
      </c>
      <c r="I1179" t="inlineStr">
        <is>
          <t>Leetcode</t>
        </is>
      </c>
      <c r="J1179" t="inlineStr">
        <is>
          <t>Problem</t>
        </is>
      </c>
    </row>
    <row r="1180">
      <c r="A1180" t="n">
        <v>912</v>
      </c>
      <c r="B1180" t="inlineStr">
        <is>
          <t>Is Graph Bipartite?</t>
        </is>
      </c>
      <c r="C1180">
        <f>HYPERLINK("https://leetcode.com/problems/is-graph-bipartite/","is-graph-bipartite")</f>
        <v/>
      </c>
      <c r="D1180" t="inlineStr">
        <is>
          <t>-</t>
        </is>
      </c>
      <c r="E1180" t="inlineStr">
        <is>
          <t>Medium</t>
        </is>
      </c>
      <c r="F1180" t="n">
        <v>22</v>
      </c>
      <c r="G1180" t="inlineStr">
        <is>
          <t>Graphs</t>
        </is>
      </c>
      <c r="H1180" t="inlineStr">
        <is>
          <t>Cycle Detection</t>
        </is>
      </c>
      <c r="I1180" t="inlineStr">
        <is>
          <t>Leetcode</t>
        </is>
      </c>
      <c r="J1180" t="inlineStr">
        <is>
          <t>Problem</t>
        </is>
      </c>
    </row>
    <row r="1181">
      <c r="A1181" t="n">
        <v>1014</v>
      </c>
      <c r="B1181" t="inlineStr">
        <is>
          <t>Possible Bipartition</t>
        </is>
      </c>
      <c r="C1181">
        <f>HYPERLINK("https://leetcode.com/problems/possible-bipartition/description/","possible-bipartition")</f>
        <v/>
      </c>
      <c r="D1181" t="inlineStr">
        <is>
          <t>-</t>
        </is>
      </c>
      <c r="E1181" t="inlineStr">
        <is>
          <t>Medium</t>
        </is>
      </c>
      <c r="F1181" t="n">
        <v>22</v>
      </c>
      <c r="G1181" t="inlineStr">
        <is>
          <t>Graphs</t>
        </is>
      </c>
      <c r="H1181" t="inlineStr">
        <is>
          <t>Cycle Detection</t>
        </is>
      </c>
      <c r="I1181" t="inlineStr">
        <is>
          <t>Leetcode</t>
        </is>
      </c>
      <c r="J1181" t="inlineStr">
        <is>
          <t>Problem</t>
        </is>
      </c>
    </row>
    <row r="1182">
      <c r="A1182" t="n">
        <v>908</v>
      </c>
      <c r="B1182" t="inlineStr">
        <is>
          <t>Flower Planting With No Adjacent</t>
        </is>
      </c>
      <c r="C1182">
        <f>HYPERLINK("https://leetcode.com/problems/flower-planting-with-no-adjacent/description/","flower-planting-with-no-adjacent")</f>
        <v/>
      </c>
      <c r="D1182" t="inlineStr">
        <is>
          <t>-</t>
        </is>
      </c>
      <c r="E1182" t="inlineStr">
        <is>
          <t>Medium</t>
        </is>
      </c>
      <c r="F1182" t="n">
        <v>22</v>
      </c>
      <c r="G1182" t="inlineStr">
        <is>
          <t>Graphs</t>
        </is>
      </c>
      <c r="H1182" t="inlineStr">
        <is>
          <t>Cycle Detection</t>
        </is>
      </c>
      <c r="I1182" t="inlineStr">
        <is>
          <t>Leetcode</t>
        </is>
      </c>
      <c r="J1182" t="inlineStr">
        <is>
          <t>Problem</t>
        </is>
      </c>
    </row>
    <row r="1183">
      <c r="A1183" t="n">
        <v>1013</v>
      </c>
      <c r="B1183" t="inlineStr">
        <is>
          <t>Divide Nodes into the Maximum Number of Groups</t>
        </is>
      </c>
      <c r="C1183">
        <f>HYPERLINK("https://leetcode.com/problems/divide-nodes-into-the-maximum-number-of-groups/description/","divide-nodes-into-the-maximum-number-of-groups")</f>
        <v/>
      </c>
      <c r="D1183" t="inlineStr">
        <is>
          <t>-</t>
        </is>
      </c>
      <c r="E1183" t="inlineStr">
        <is>
          <t>Hard</t>
        </is>
      </c>
      <c r="F1183" t="n">
        <v>22</v>
      </c>
      <c r="G1183" t="inlineStr">
        <is>
          <t>Graphs</t>
        </is>
      </c>
      <c r="H1183" t="inlineStr">
        <is>
          <t>Cycle Detection</t>
        </is>
      </c>
      <c r="I1183" t="inlineStr">
        <is>
          <t>Leetcode</t>
        </is>
      </c>
      <c r="J1183" t="inlineStr">
        <is>
          <t>Problem</t>
        </is>
      </c>
    </row>
    <row r="1184">
      <c r="A1184" t="n">
        <v>1012</v>
      </c>
      <c r="B1184" t="inlineStr">
        <is>
          <t>Course Schedule</t>
        </is>
      </c>
      <c r="C1184">
        <f>HYPERLINK("https://leetcode.com/problems/course-schedule","course-schedule")</f>
        <v/>
      </c>
      <c r="D1184" t="inlineStr">
        <is>
          <t>-</t>
        </is>
      </c>
      <c r="E1184" t="inlineStr">
        <is>
          <t>Medium</t>
        </is>
      </c>
      <c r="F1184" t="n">
        <v>22</v>
      </c>
      <c r="G1184" t="inlineStr">
        <is>
          <t>Graphs</t>
        </is>
      </c>
      <c r="H1184" t="inlineStr">
        <is>
          <t>Topological Sort</t>
        </is>
      </c>
      <c r="I1184" t="inlineStr">
        <is>
          <t>Leetcode</t>
        </is>
      </c>
      <c r="J1184" t="inlineStr">
        <is>
          <t>Problem</t>
        </is>
      </c>
    </row>
    <row r="1185">
      <c r="A1185" t="n">
        <v>993</v>
      </c>
      <c r="B1185" t="inlineStr">
        <is>
          <t>Course Schedule II</t>
        </is>
      </c>
      <c r="C1185">
        <f>HYPERLINK("https://leetcode.com/problems/course-schedule-ii","course-schedule-ii")</f>
        <v/>
      </c>
      <c r="D1185" t="inlineStr">
        <is>
          <t>-</t>
        </is>
      </c>
      <c r="E1185" t="inlineStr">
        <is>
          <t>Medium</t>
        </is>
      </c>
      <c r="F1185" t="n">
        <v>22</v>
      </c>
      <c r="G1185" t="inlineStr">
        <is>
          <t>Graphs</t>
        </is>
      </c>
      <c r="H1185" t="inlineStr">
        <is>
          <t>Topological Sort</t>
        </is>
      </c>
      <c r="I1185" t="inlineStr">
        <is>
          <t>Leetcode</t>
        </is>
      </c>
      <c r="J1185" t="inlineStr">
        <is>
          <t>Problem</t>
        </is>
      </c>
    </row>
    <row r="1186">
      <c r="A1186" t="n">
        <v>951</v>
      </c>
      <c r="B1186" t="inlineStr">
        <is>
          <t>Find Eventual Safe States</t>
        </is>
      </c>
      <c r="C1186">
        <f>HYPERLINK("https://leetcode.com/problems/find-eventual-safe-states/description/","find-eventual-safe-states")</f>
        <v/>
      </c>
      <c r="D1186" t="inlineStr">
        <is>
          <t>-</t>
        </is>
      </c>
      <c r="E1186" t="inlineStr">
        <is>
          <t>Medium</t>
        </is>
      </c>
      <c r="F1186" t="n">
        <v>22</v>
      </c>
      <c r="G1186" t="inlineStr">
        <is>
          <t>Graphs</t>
        </is>
      </c>
      <c r="H1186" t="inlineStr">
        <is>
          <t>Topological Sort</t>
        </is>
      </c>
      <c r="I1186" t="inlineStr">
        <is>
          <t>Leetcode</t>
        </is>
      </c>
      <c r="J1186" t="inlineStr">
        <is>
          <t>Problem</t>
        </is>
      </c>
    </row>
    <row r="1187">
      <c r="A1187" t="n">
        <v>934</v>
      </c>
      <c r="B1187" t="inlineStr">
        <is>
          <t>Minimum Height Trees</t>
        </is>
      </c>
      <c r="C1187">
        <f>HYPERLINK("https://leetcode.com/problems/minimum-height-trees","minimum-height-trees")</f>
        <v/>
      </c>
      <c r="D1187" t="inlineStr">
        <is>
          <t>-</t>
        </is>
      </c>
      <c r="E1187" t="inlineStr">
        <is>
          <t>Medium</t>
        </is>
      </c>
      <c r="F1187" t="n">
        <v>22</v>
      </c>
      <c r="G1187" t="inlineStr">
        <is>
          <t>Graphs</t>
        </is>
      </c>
      <c r="H1187" t="inlineStr">
        <is>
          <t>Topological Sort</t>
        </is>
      </c>
      <c r="I1187" t="inlineStr">
        <is>
          <t>Leetcode</t>
        </is>
      </c>
      <c r="J1187" t="inlineStr">
        <is>
          <t>Problem</t>
        </is>
      </c>
    </row>
    <row r="1188">
      <c r="A1188" t="n">
        <v>920</v>
      </c>
      <c r="B1188" t="inlineStr">
        <is>
          <t>Loud and Rich</t>
        </is>
      </c>
      <c r="C1188">
        <f>HYPERLINK("https://leetcode.com/problems/loud-and-rich","loud-and-rich")</f>
        <v/>
      </c>
      <c r="D1188" t="inlineStr">
        <is>
          <t>-</t>
        </is>
      </c>
      <c r="E1188" t="inlineStr">
        <is>
          <t>Medium</t>
        </is>
      </c>
      <c r="F1188" t="n">
        <v>22</v>
      </c>
      <c r="G1188" t="inlineStr">
        <is>
          <t>Graphs</t>
        </is>
      </c>
      <c r="H1188" t="inlineStr">
        <is>
          <t>Topological Sort</t>
        </is>
      </c>
      <c r="I1188" t="inlineStr">
        <is>
          <t>Leetcode</t>
        </is>
      </c>
      <c r="J1188" t="inlineStr">
        <is>
          <t>Problem</t>
        </is>
      </c>
    </row>
    <row r="1189">
      <c r="A1189" t="n">
        <v>880</v>
      </c>
      <c r="B1189" t="inlineStr">
        <is>
          <t>All Ancestors of a Node in a Directed Acyclic Graph</t>
        </is>
      </c>
      <c r="C1189">
        <f>HYPERLINK("https://leetcode.com/problems/all-ancestors-of-a-node-in-a-directed-acyclic-graph/description/","all-ancestors-of-a-node-in-a-directed-acyclic-graph")</f>
        <v/>
      </c>
      <c r="D1189" t="inlineStr">
        <is>
          <t>-</t>
        </is>
      </c>
      <c r="E1189" t="inlineStr">
        <is>
          <t>Medium</t>
        </is>
      </c>
      <c r="F1189" t="n">
        <v>22</v>
      </c>
      <c r="G1189" t="inlineStr">
        <is>
          <t>Graphs</t>
        </is>
      </c>
      <c r="H1189" t="inlineStr">
        <is>
          <t>Topological Sort</t>
        </is>
      </c>
      <c r="I1189" t="inlineStr">
        <is>
          <t>Leetcode</t>
        </is>
      </c>
      <c r="J1189" t="inlineStr">
        <is>
          <t>Problem</t>
        </is>
      </c>
    </row>
    <row r="1190">
      <c r="A1190" t="n">
        <v>900</v>
      </c>
      <c r="B1190" t="inlineStr">
        <is>
          <t>Find All Possible Recipes from Given Supplies</t>
        </is>
      </c>
      <c r="C1190">
        <f>HYPERLINK("https://leetcode.com/problems/find-all-possible-recipes-from-given-supplies","find-all-possible-recipes-from-given-supplies")</f>
        <v/>
      </c>
      <c r="D1190" t="inlineStr">
        <is>
          <t>-</t>
        </is>
      </c>
      <c r="E1190" t="inlineStr">
        <is>
          <t>Hard</t>
        </is>
      </c>
      <c r="F1190" t="n">
        <v>22</v>
      </c>
      <c r="G1190" t="inlineStr">
        <is>
          <t>Graphs</t>
        </is>
      </c>
      <c r="H1190" t="inlineStr">
        <is>
          <t>Topological Sort</t>
        </is>
      </c>
      <c r="I1190" t="inlineStr">
        <is>
          <t>Leetcode</t>
        </is>
      </c>
      <c r="J1190" t="inlineStr">
        <is>
          <t>Problem</t>
        </is>
      </c>
    </row>
    <row r="1191">
      <c r="A1191" t="n">
        <v>1455</v>
      </c>
      <c r="B1191" t="inlineStr">
        <is>
          <t>Alien Dictionary</t>
        </is>
      </c>
      <c r="C1191">
        <f>HYPERLINK("https://www.geeksforgeeks.org/problems/alien-dictionary/1","Solve Problem")</f>
        <v/>
      </c>
      <c r="D1191" t="inlineStr">
        <is>
          <t>-</t>
        </is>
      </c>
      <c r="E1191" t="inlineStr">
        <is>
          <t>Hard</t>
        </is>
      </c>
      <c r="F1191" t="n">
        <v>22</v>
      </c>
      <c r="G1191" t="inlineStr">
        <is>
          <t>Graphs</t>
        </is>
      </c>
      <c r="H1191" t="inlineStr">
        <is>
          <t>Topological Sort</t>
        </is>
      </c>
      <c r="I1191" t="inlineStr">
        <is>
          <t>Geeksforgeeks</t>
        </is>
      </c>
      <c r="J1191" t="inlineStr">
        <is>
          <t>Problem</t>
        </is>
      </c>
    </row>
    <row r="1192">
      <c r="A1192" t="n">
        <v>917</v>
      </c>
      <c r="B1192" t="inlineStr">
        <is>
          <t>Longest Increasing Path in a Matrix</t>
        </is>
      </c>
      <c r="C1192">
        <f>HYPERLINK("https://leetcode.com/problems/longest-increasing-path-in-a-matrix","longest-increasing-path-in-a-matrix")</f>
        <v/>
      </c>
      <c r="D1192" t="inlineStr">
        <is>
          <t>-</t>
        </is>
      </c>
      <c r="E1192" t="inlineStr">
        <is>
          <t>Hard</t>
        </is>
      </c>
      <c r="F1192" t="n">
        <v>22</v>
      </c>
      <c r="G1192" t="inlineStr">
        <is>
          <t>Graphs</t>
        </is>
      </c>
      <c r="H1192" t="inlineStr">
        <is>
          <t>Topological Sort</t>
        </is>
      </c>
      <c r="I1192" t="inlineStr">
        <is>
          <t>Leetcode</t>
        </is>
      </c>
      <c r="J1192" t="inlineStr">
        <is>
          <t>Problem</t>
        </is>
      </c>
    </row>
    <row r="1193">
      <c r="A1193" t="n">
        <v>884</v>
      </c>
      <c r="B1193" t="inlineStr">
        <is>
          <t>Cat and Mouse</t>
        </is>
      </c>
      <c r="C1193">
        <f>HYPERLINK("https://leetcode.com/problems/cat-and-mouse/description/","cat-and-mouse")</f>
        <v/>
      </c>
      <c r="D1193" t="inlineStr">
        <is>
          <t>-</t>
        </is>
      </c>
      <c r="E1193" t="inlineStr">
        <is>
          <t>Hard</t>
        </is>
      </c>
      <c r="F1193" t="n">
        <v>22</v>
      </c>
      <c r="G1193" t="inlineStr">
        <is>
          <t>Graphs</t>
        </is>
      </c>
      <c r="H1193" t="inlineStr">
        <is>
          <t>Topological Sort</t>
        </is>
      </c>
      <c r="I1193" t="inlineStr">
        <is>
          <t>Leetcode</t>
        </is>
      </c>
      <c r="J1193" t="inlineStr">
        <is>
          <t>Problem</t>
        </is>
      </c>
    </row>
    <row r="1194">
      <c r="A1194" t="n">
        <v>988</v>
      </c>
      <c r="B1194" t="inlineStr">
        <is>
          <t>Sort Items by Groups Respecting Dependencies</t>
        </is>
      </c>
      <c r="C1194">
        <f>HYPERLINK("https://leetcode.com/problems/sort-items-by-groups-respecting-dependencies/description/","sort-items-by-groups-respecting-dependencies")</f>
        <v/>
      </c>
      <c r="D1194" t="inlineStr">
        <is>
          <t>-</t>
        </is>
      </c>
      <c r="E1194" t="inlineStr">
        <is>
          <t>Hard</t>
        </is>
      </c>
      <c r="F1194" t="n">
        <v>22</v>
      </c>
      <c r="G1194" t="inlineStr">
        <is>
          <t>Graphs</t>
        </is>
      </c>
      <c r="H1194" t="inlineStr">
        <is>
          <t>Topological Sort</t>
        </is>
      </c>
      <c r="I1194" t="inlineStr">
        <is>
          <t>Leetcode</t>
        </is>
      </c>
      <c r="J1194" t="inlineStr">
        <is>
          <t>Problem</t>
        </is>
      </c>
    </row>
    <row r="1195">
      <c r="A1195" t="n">
        <v>988</v>
      </c>
      <c r="B1195" t="inlineStr">
        <is>
          <t>Sort Items by Groups Respecting Dependencies</t>
        </is>
      </c>
      <c r="C1195">
        <f>HYPERLINK("https://leetcode.com/problems/sort-items-by-groups-respecting-dependencies/description/","sort-items-by-groups-respecting-dependencies")</f>
        <v/>
      </c>
      <c r="D1195" t="inlineStr">
        <is>
          <t>-</t>
        </is>
      </c>
      <c r="E1195" t="inlineStr">
        <is>
          <t>Hard</t>
        </is>
      </c>
      <c r="F1195" t="n">
        <v>22</v>
      </c>
      <c r="G1195" t="inlineStr">
        <is>
          <t>Graphs</t>
        </is>
      </c>
      <c r="H1195" t="inlineStr">
        <is>
          <t>Topological Sort</t>
        </is>
      </c>
      <c r="I1195" t="inlineStr">
        <is>
          <t>Leetcode</t>
        </is>
      </c>
      <c r="J1195" t="inlineStr">
        <is>
          <t>Problem</t>
        </is>
      </c>
    </row>
    <row r="1196">
      <c r="A1196" t="n">
        <v>997</v>
      </c>
      <c r="B1196" t="inlineStr">
        <is>
          <t>Largest Color Value in a Directed Graph</t>
        </is>
      </c>
      <c r="C1196">
        <f>HYPERLINK("https://leetcode.com/problems/largest-color-value-in-a-directed-graph/description/","largest-color-value-in-a-directed-graph")</f>
        <v/>
      </c>
      <c r="D1196" t="inlineStr">
        <is>
          <t>-</t>
        </is>
      </c>
      <c r="E1196" t="inlineStr">
        <is>
          <t>Hard</t>
        </is>
      </c>
      <c r="F1196" t="n">
        <v>22</v>
      </c>
      <c r="G1196" t="inlineStr">
        <is>
          <t>Graphs</t>
        </is>
      </c>
      <c r="H1196" t="inlineStr">
        <is>
          <t>Topological Sort</t>
        </is>
      </c>
      <c r="I1196" t="inlineStr">
        <is>
          <t>Leetcode</t>
        </is>
      </c>
      <c r="J1196" t="inlineStr">
        <is>
          <t>Problem</t>
        </is>
      </c>
    </row>
    <row r="1197">
      <c r="A1197" t="n">
        <v>967</v>
      </c>
      <c r="B1197" t="inlineStr">
        <is>
          <t>Parallel Courses III</t>
        </is>
      </c>
      <c r="C1197">
        <f>HYPERLINK("https://leetcode.com/problems/parallel-courses-iii","parallel-courses-iii")</f>
        <v/>
      </c>
      <c r="D1197" t="inlineStr">
        <is>
          <t>-</t>
        </is>
      </c>
      <c r="E1197" t="inlineStr">
        <is>
          <t>Hard</t>
        </is>
      </c>
      <c r="F1197" t="n">
        <v>22</v>
      </c>
      <c r="G1197" t="inlineStr">
        <is>
          <t>Graphs</t>
        </is>
      </c>
      <c r="H1197" t="inlineStr">
        <is>
          <t>Topological Sort</t>
        </is>
      </c>
      <c r="I1197" t="inlineStr">
        <is>
          <t>Leetcode</t>
        </is>
      </c>
      <c r="J1197" t="inlineStr">
        <is>
          <t>Problem</t>
        </is>
      </c>
    </row>
    <row r="1198">
      <c r="A1198" t="n">
        <v>966</v>
      </c>
      <c r="B1198" t="inlineStr">
        <is>
          <t>Parallel Courses II</t>
        </is>
      </c>
      <c r="C1198">
        <f>HYPERLINK("https://leetcode.com/problems/parallel-courses-ii/","parallel-courses-ii")</f>
        <v/>
      </c>
      <c r="D1198" t="inlineStr">
        <is>
          <t>-</t>
        </is>
      </c>
      <c r="E1198" t="inlineStr">
        <is>
          <t>Hard</t>
        </is>
      </c>
      <c r="F1198" t="n">
        <v>22</v>
      </c>
      <c r="G1198" t="inlineStr">
        <is>
          <t>Graphs</t>
        </is>
      </c>
      <c r="H1198" t="inlineStr">
        <is>
          <t>Topological Sort</t>
        </is>
      </c>
      <c r="I1198" t="inlineStr">
        <is>
          <t>Leetcode</t>
        </is>
      </c>
      <c r="J1198" t="inlineStr">
        <is>
          <t>Problem</t>
        </is>
      </c>
    </row>
    <row r="1199">
      <c r="A1199" t="n">
        <v>944</v>
      </c>
      <c r="B1199" t="inlineStr">
        <is>
          <t>Number of Increasing Paths in a Grid</t>
        </is>
      </c>
      <c r="C1199">
        <f>HYPERLINK("https://leetcode.com/problems/number-of-increasing-paths-in-a-grid","number-of-increasing-paths-in-a-grid")</f>
        <v/>
      </c>
      <c r="D1199" t="inlineStr">
        <is>
          <t>-</t>
        </is>
      </c>
      <c r="E1199" t="inlineStr">
        <is>
          <t>Hard</t>
        </is>
      </c>
      <c r="F1199" t="n">
        <v>22</v>
      </c>
      <c r="G1199" t="inlineStr">
        <is>
          <t>Graphs</t>
        </is>
      </c>
      <c r="H1199" t="inlineStr">
        <is>
          <t>Topological Sort</t>
        </is>
      </c>
      <c r="I1199" t="inlineStr">
        <is>
          <t>Leetcode</t>
        </is>
      </c>
      <c r="J1199" t="inlineStr">
        <is>
          <t>Problem</t>
        </is>
      </c>
    </row>
    <row r="1200">
      <c r="A1200" t="n">
        <v>1011</v>
      </c>
      <c r="B1200" t="inlineStr">
        <is>
          <t>Build a Matrix With Conditions</t>
        </is>
      </c>
      <c r="C1200">
        <f>HYPERLINK("https://leetcode.com/problems/build-a-matrix-with-conditions","build-a-matrix-with-conditions")</f>
        <v/>
      </c>
      <c r="D1200" t="inlineStr">
        <is>
          <t>-</t>
        </is>
      </c>
      <c r="E1200" t="inlineStr">
        <is>
          <t>Hard</t>
        </is>
      </c>
      <c r="F1200" t="n">
        <v>22</v>
      </c>
      <c r="G1200" t="inlineStr">
        <is>
          <t>Graphs</t>
        </is>
      </c>
      <c r="H1200" t="inlineStr">
        <is>
          <t>Topological Sort</t>
        </is>
      </c>
      <c r="I1200" t="inlineStr">
        <is>
          <t>Leetcode</t>
        </is>
      </c>
      <c r="J1200" t="inlineStr">
        <is>
          <t>Problem</t>
        </is>
      </c>
    </row>
    <row r="1201">
      <c r="A1201" t="n">
        <v>953</v>
      </c>
      <c r="B1201" t="inlineStr">
        <is>
          <t>Flood Fill</t>
        </is>
      </c>
      <c r="C1201">
        <f>HYPERLINK("https://leetcode.com/problems/flood-fill/description/","flood-fill")</f>
        <v/>
      </c>
      <c r="D1201" t="inlineStr">
        <is>
          <t>-</t>
        </is>
      </c>
      <c r="E1201" t="inlineStr">
        <is>
          <t>Easy</t>
        </is>
      </c>
      <c r="F1201" t="n">
        <v>22</v>
      </c>
      <c r="G1201" t="inlineStr">
        <is>
          <t>Graphs</t>
        </is>
      </c>
      <c r="H1201" t="inlineStr">
        <is>
          <t>Flood Fill</t>
        </is>
      </c>
      <c r="I1201" t="inlineStr">
        <is>
          <t>Leetcode</t>
        </is>
      </c>
      <c r="J1201" t="inlineStr">
        <is>
          <t>Problem</t>
        </is>
      </c>
    </row>
    <row r="1202">
      <c r="A1202" t="n">
        <v>913</v>
      </c>
      <c r="B1202" t="inlineStr">
        <is>
          <t>Island Perimeter</t>
        </is>
      </c>
      <c r="C1202">
        <f>HYPERLINK("https://leetcode.com/problems/island-perimeter/description/","island-perimeter")</f>
        <v/>
      </c>
      <c r="D1202" t="inlineStr">
        <is>
          <t>-</t>
        </is>
      </c>
      <c r="E1202" t="inlineStr">
        <is>
          <t>Easy</t>
        </is>
      </c>
      <c r="F1202" t="n">
        <v>22</v>
      </c>
      <c r="G1202" t="inlineStr">
        <is>
          <t>Graphs</t>
        </is>
      </c>
      <c r="H1202" t="inlineStr">
        <is>
          <t>Flood Fill</t>
        </is>
      </c>
      <c r="I1202" t="inlineStr">
        <is>
          <t>Leetcode</t>
        </is>
      </c>
      <c r="J1202" t="inlineStr">
        <is>
          <t>Problem</t>
        </is>
      </c>
    </row>
    <row r="1203">
      <c r="A1203" t="n">
        <v>881</v>
      </c>
      <c r="B1203" t="inlineStr">
        <is>
          <t>Battleships in a Board</t>
        </is>
      </c>
      <c r="C1203">
        <f>HYPERLINK("https://leetcode.com/problems/battleships-in-a-board/description/","battleships-in-a-board")</f>
        <v/>
      </c>
      <c r="D1203" t="inlineStr">
        <is>
          <t>-</t>
        </is>
      </c>
      <c r="E1203" t="inlineStr">
        <is>
          <t>Medium</t>
        </is>
      </c>
      <c r="F1203" t="n">
        <v>22</v>
      </c>
      <c r="G1203" t="inlineStr">
        <is>
          <t>Graphs</t>
        </is>
      </c>
      <c r="H1203" t="inlineStr">
        <is>
          <t>Flood Fill</t>
        </is>
      </c>
      <c r="I1203" t="inlineStr">
        <is>
          <t>Leetcode</t>
        </is>
      </c>
      <c r="J1203" t="inlineStr">
        <is>
          <t>Problem</t>
        </is>
      </c>
    </row>
    <row r="1204">
      <c r="A1204" t="n">
        <v>945</v>
      </c>
      <c r="B1204" t="inlineStr">
        <is>
          <t>Number of Islands</t>
        </is>
      </c>
      <c r="C1204">
        <f>HYPERLINK("https://leetcode.com/problems/number-of-islands/description/","number-of-islands")</f>
        <v/>
      </c>
      <c r="D1204" t="inlineStr">
        <is>
          <t>-</t>
        </is>
      </c>
      <c r="E1204" t="inlineStr">
        <is>
          <t>Medium</t>
        </is>
      </c>
      <c r="F1204" t="n">
        <v>22</v>
      </c>
      <c r="G1204" t="inlineStr">
        <is>
          <t>Graphs</t>
        </is>
      </c>
      <c r="H1204" t="inlineStr">
        <is>
          <t>Flood Fill</t>
        </is>
      </c>
      <c r="I1204" t="inlineStr">
        <is>
          <t>Leetcode</t>
        </is>
      </c>
      <c r="J1204" t="inlineStr">
        <is>
          <t>Problem</t>
        </is>
      </c>
    </row>
    <row r="1205">
      <c r="A1205" t="n">
        <v>923</v>
      </c>
      <c r="B1205" t="inlineStr">
        <is>
          <t>Max Area of Island</t>
        </is>
      </c>
      <c r="C1205">
        <f>HYPERLINK("https://leetcode.com/problems/max-area-of-island/description/","max-area-of-island")</f>
        <v/>
      </c>
      <c r="D1205" t="inlineStr">
        <is>
          <t>-</t>
        </is>
      </c>
      <c r="E1205" t="inlineStr">
        <is>
          <t>Medium</t>
        </is>
      </c>
      <c r="F1205" t="n">
        <v>22</v>
      </c>
      <c r="G1205" t="inlineStr">
        <is>
          <t>Graphs</t>
        </is>
      </c>
      <c r="H1205" t="inlineStr">
        <is>
          <t>Flood Fill</t>
        </is>
      </c>
      <c r="I1205" t="inlineStr">
        <is>
          <t>Leetcode</t>
        </is>
      </c>
      <c r="J1205" t="inlineStr">
        <is>
          <t>Problem</t>
        </is>
      </c>
    </row>
    <row r="1206">
      <c r="A1206" t="n">
        <v>1016</v>
      </c>
      <c r="B1206" t="inlineStr">
        <is>
          <t>Count Sub Islands</t>
        </is>
      </c>
      <c r="C1206">
        <f>HYPERLINK("https://leetcode.com/problems/count-sub-islands/description/","count-sub-islands")</f>
        <v/>
      </c>
      <c r="D1206" t="inlineStr">
        <is>
          <t>-</t>
        </is>
      </c>
      <c r="E1206" t="inlineStr">
        <is>
          <t>Medium</t>
        </is>
      </c>
      <c r="F1206" t="n">
        <v>22</v>
      </c>
      <c r="G1206" t="inlineStr">
        <is>
          <t>Graphs</t>
        </is>
      </c>
      <c r="H1206" t="inlineStr">
        <is>
          <t>Flood Fill</t>
        </is>
      </c>
      <c r="I1206" t="inlineStr">
        <is>
          <t>Leetcode</t>
        </is>
      </c>
      <c r="J1206" t="inlineStr">
        <is>
          <t>Problem</t>
        </is>
      </c>
    </row>
    <row r="1207">
      <c r="A1207" t="n">
        <v>899</v>
      </c>
      <c r="B1207" t="inlineStr">
        <is>
          <t>Find All Groups of Farmland</t>
        </is>
      </c>
      <c r="C1207">
        <f>HYPERLINK("https://leetcode.com/problems/find-all-groups-of-farmland/description/","find-all-groups-of-farmland")</f>
        <v/>
      </c>
      <c r="D1207" t="inlineStr">
        <is>
          <t>-</t>
        </is>
      </c>
      <c r="E1207" t="inlineStr">
        <is>
          <t>Medium</t>
        </is>
      </c>
      <c r="F1207" t="n">
        <v>22</v>
      </c>
      <c r="G1207" t="inlineStr">
        <is>
          <t>Graphs</t>
        </is>
      </c>
      <c r="H1207" t="inlineStr">
        <is>
          <t>Flood Fill</t>
        </is>
      </c>
      <c r="I1207" t="inlineStr">
        <is>
          <t>Leetcode</t>
        </is>
      </c>
      <c r="J1207" t="inlineStr">
        <is>
          <t>Problem</t>
        </is>
      </c>
    </row>
    <row r="1208">
      <c r="A1208" t="n">
        <v>979</v>
      </c>
      <c r="B1208" t="inlineStr">
        <is>
          <t>Rotting Oranges</t>
        </is>
      </c>
      <c r="C1208">
        <f>HYPERLINK("https://leetcode.com/problems/rotting-oranges/description/","rotting-oranges")</f>
        <v/>
      </c>
      <c r="D1208" t="inlineStr">
        <is>
          <t>-</t>
        </is>
      </c>
      <c r="E1208" t="inlineStr">
        <is>
          <t>Medium</t>
        </is>
      </c>
      <c r="F1208" t="n">
        <v>22</v>
      </c>
      <c r="G1208" t="inlineStr">
        <is>
          <t>Graphs</t>
        </is>
      </c>
      <c r="H1208" t="inlineStr">
        <is>
          <t>Multi Source BFS</t>
        </is>
      </c>
      <c r="I1208" t="inlineStr">
        <is>
          <t>Leetcode</t>
        </is>
      </c>
      <c r="J1208" t="inlineStr">
        <is>
          <t>Problem</t>
        </is>
      </c>
    </row>
    <row r="1209">
      <c r="A1209" t="n">
        <v>943</v>
      </c>
      <c r="B1209" t="inlineStr">
        <is>
          <t>Number of Enclaves</t>
        </is>
      </c>
      <c r="C1209">
        <f>HYPERLINK("https://leetcode.com/problems/number-of-enclaves/description/","number-of-enclaves")</f>
        <v/>
      </c>
      <c r="D1209" t="inlineStr">
        <is>
          <t>-</t>
        </is>
      </c>
      <c r="E1209" t="inlineStr">
        <is>
          <t>Medium</t>
        </is>
      </c>
      <c r="F1209" t="n">
        <v>22</v>
      </c>
      <c r="G1209" t="inlineStr">
        <is>
          <t>Graphs</t>
        </is>
      </c>
      <c r="H1209" t="inlineStr">
        <is>
          <t>Multi Source BFS</t>
        </is>
      </c>
      <c r="I1209" t="inlineStr">
        <is>
          <t>Leetcode</t>
        </is>
      </c>
      <c r="J1209" t="inlineStr">
        <is>
          <t>Problem</t>
        </is>
      </c>
    </row>
    <row r="1210">
      <c r="A1210" t="n">
        <v>921</v>
      </c>
      <c r="B1210" t="inlineStr">
        <is>
          <t>Map of Highest Peak</t>
        </is>
      </c>
      <c r="C1210">
        <f>HYPERLINK("https://leetcode.com/problems/map-of-highest-peak/description/","map-of-highest-peak")</f>
        <v/>
      </c>
      <c r="D1210" t="inlineStr">
        <is>
          <t>-</t>
        </is>
      </c>
      <c r="E1210" t="inlineStr">
        <is>
          <t>Medium</t>
        </is>
      </c>
      <c r="F1210" t="n">
        <v>22</v>
      </c>
      <c r="G1210" t="inlineStr">
        <is>
          <t>Graphs</t>
        </is>
      </c>
      <c r="H1210" t="inlineStr">
        <is>
          <t>Multi Source BFS</t>
        </is>
      </c>
      <c r="I1210" t="inlineStr">
        <is>
          <t>Leetcode</t>
        </is>
      </c>
      <c r="J1210" t="inlineStr">
        <is>
          <t>Problem</t>
        </is>
      </c>
    </row>
    <row r="1211">
      <c r="A1211" t="n">
        <v>990</v>
      </c>
      <c r="B1211" t="inlineStr">
        <is>
          <t>Surrounded Regions</t>
        </is>
      </c>
      <c r="C1211">
        <f>HYPERLINK("https://leetcode.com/problems/surrounded-regions/description/","surrounded-regions")</f>
        <v/>
      </c>
      <c r="D1211" t="inlineStr">
        <is>
          <t>-</t>
        </is>
      </c>
      <c r="E1211" t="inlineStr">
        <is>
          <t>Medium</t>
        </is>
      </c>
      <c r="F1211" t="n">
        <v>22</v>
      </c>
      <c r="G1211" t="inlineStr">
        <is>
          <t>Graphs</t>
        </is>
      </c>
      <c r="H1211" t="inlineStr">
        <is>
          <t>Multi Source BFS</t>
        </is>
      </c>
      <c r="I1211" t="inlineStr">
        <is>
          <t>Leetcode</t>
        </is>
      </c>
      <c r="J1211" t="inlineStr">
        <is>
          <t>Problem</t>
        </is>
      </c>
    </row>
    <row r="1212">
      <c r="A1212" t="n">
        <v>960</v>
      </c>
      <c r="B1212" t="inlineStr">
        <is>
          <t>Number of Closed Islands</t>
        </is>
      </c>
      <c r="C1212">
        <f>HYPERLINK("https://leetcode.com/problems/number-of-closed-islands/description/","number-of-closed-islands")</f>
        <v/>
      </c>
      <c r="D1212" t="inlineStr">
        <is>
          <t>-</t>
        </is>
      </c>
      <c r="E1212" t="inlineStr">
        <is>
          <t>Medium</t>
        </is>
      </c>
      <c r="F1212" t="n">
        <v>22</v>
      </c>
      <c r="G1212" t="inlineStr">
        <is>
          <t>Graphs</t>
        </is>
      </c>
      <c r="H1212" t="inlineStr">
        <is>
          <t>Multi Source BFS</t>
        </is>
      </c>
      <c r="I1212" t="inlineStr">
        <is>
          <t>Leetcode</t>
        </is>
      </c>
      <c r="J1212" t="inlineStr">
        <is>
          <t>Problem</t>
        </is>
      </c>
    </row>
    <row r="1213">
      <c r="A1213" t="n">
        <v>878</v>
      </c>
      <c r="B1213" t="inlineStr">
        <is>
          <t>01 Matrix</t>
        </is>
      </c>
      <c r="C1213">
        <f>HYPERLINK("https://leetcode.com/problems/01-matrix/description/","01-matrix")</f>
        <v/>
      </c>
      <c r="D1213" t="inlineStr">
        <is>
          <t>-</t>
        </is>
      </c>
      <c r="E1213" t="inlineStr">
        <is>
          <t>Medium</t>
        </is>
      </c>
      <c r="F1213" t="n">
        <v>22</v>
      </c>
      <c r="G1213" t="inlineStr">
        <is>
          <t>Graphs</t>
        </is>
      </c>
      <c r="H1213" t="inlineStr">
        <is>
          <t>Multi Source BFS</t>
        </is>
      </c>
      <c r="I1213" t="inlineStr">
        <is>
          <t>Leetcode</t>
        </is>
      </c>
      <c r="J1213" t="inlineStr">
        <is>
          <t>Problem</t>
        </is>
      </c>
    </row>
    <row r="1214">
      <c r="A1214" t="n">
        <v>982</v>
      </c>
      <c r="B1214" t="inlineStr">
        <is>
          <t>Shortest Bridge</t>
        </is>
      </c>
      <c r="C1214">
        <f>HYPERLINK("https://leetcode.com/problems/shortest-bridge/description/","shortest-bridge")</f>
        <v/>
      </c>
      <c r="D1214" t="inlineStr">
        <is>
          <t>-</t>
        </is>
      </c>
      <c r="E1214" t="inlineStr">
        <is>
          <t>Medium</t>
        </is>
      </c>
      <c r="F1214" t="n">
        <v>22</v>
      </c>
      <c r="G1214" t="inlineStr">
        <is>
          <t>Graphs</t>
        </is>
      </c>
      <c r="H1214" t="inlineStr">
        <is>
          <t>Multi Source BFS</t>
        </is>
      </c>
      <c r="I1214" t="inlineStr">
        <is>
          <t>Leetcode</t>
        </is>
      </c>
      <c r="J1214" t="inlineStr">
        <is>
          <t>Problem</t>
        </is>
      </c>
    </row>
    <row r="1215">
      <c r="A1215" t="n">
        <v>1433</v>
      </c>
      <c r="B1215" t="inlineStr">
        <is>
          <t>Shortest Route I</t>
        </is>
      </c>
      <c r="C1215">
        <f>HYPERLINK("https://cses.fi/problemset/task/1671/","Solve Problem")</f>
        <v/>
      </c>
      <c r="D1215" t="inlineStr">
        <is>
          <t>-</t>
        </is>
      </c>
      <c r="E1215" t="inlineStr">
        <is>
          <t>Medium</t>
        </is>
      </c>
      <c r="F1215" t="n">
        <v>22</v>
      </c>
      <c r="G1215" t="inlineStr">
        <is>
          <t>Graphs</t>
        </is>
      </c>
      <c r="H1215" t="inlineStr">
        <is>
          <t>Dijsktra Algorithm</t>
        </is>
      </c>
      <c r="I1215" t="inlineStr">
        <is>
          <t>Cses</t>
        </is>
      </c>
      <c r="J1215" t="inlineStr">
        <is>
          <t>Problem</t>
        </is>
      </c>
    </row>
    <row r="1216">
      <c r="A1216" t="n">
        <v>1409</v>
      </c>
      <c r="B1216" t="inlineStr">
        <is>
          <t>Dijkstra?</t>
        </is>
      </c>
      <c r="C1216">
        <f>HYPERLINK("https://codeforces.com/contest/20/problem/C","Solve Problem")</f>
        <v/>
      </c>
      <c r="D1216" t="inlineStr">
        <is>
          <t>-</t>
        </is>
      </c>
      <c r="E1216" t="inlineStr">
        <is>
          <t>Medium</t>
        </is>
      </c>
      <c r="F1216" t="n">
        <v>22</v>
      </c>
      <c r="G1216" t="inlineStr">
        <is>
          <t>Graphs</t>
        </is>
      </c>
      <c r="H1216" t="inlineStr">
        <is>
          <t>Dijsktra Algorithm</t>
        </is>
      </c>
      <c r="I1216" t="inlineStr">
        <is>
          <t>Codeforces</t>
        </is>
      </c>
      <c r="J1216" t="inlineStr">
        <is>
          <t>Problem</t>
        </is>
      </c>
    </row>
    <row r="1217">
      <c r="A1217" t="n">
        <v>1435</v>
      </c>
      <c r="B1217" t="inlineStr">
        <is>
          <t>Investigation</t>
        </is>
      </c>
      <c r="C1217">
        <f>HYPERLINK("https://cses.fi/problemset/task/1202/","Solve Problem")</f>
        <v/>
      </c>
      <c r="D1217" t="inlineStr">
        <is>
          <t>-</t>
        </is>
      </c>
      <c r="E1217" t="inlineStr">
        <is>
          <t>Medium</t>
        </is>
      </c>
      <c r="F1217" t="n">
        <v>22</v>
      </c>
      <c r="G1217" t="inlineStr">
        <is>
          <t>Graphs</t>
        </is>
      </c>
      <c r="H1217" t="inlineStr">
        <is>
          <t>Dijsktra Algorithm</t>
        </is>
      </c>
      <c r="I1217" t="inlineStr">
        <is>
          <t>Cses</t>
        </is>
      </c>
      <c r="J1217" t="inlineStr">
        <is>
          <t>Problem</t>
        </is>
      </c>
    </row>
    <row r="1218">
      <c r="A1218" t="n">
        <v>1432</v>
      </c>
      <c r="B1218" t="inlineStr">
        <is>
          <t>Flight Discount</t>
        </is>
      </c>
      <c r="C1218">
        <f>HYPERLINK("https://cses.fi/problemset/task/1195","Solve Problem")</f>
        <v/>
      </c>
      <c r="D1218" t="inlineStr">
        <is>
          <t>-</t>
        </is>
      </c>
      <c r="E1218" t="inlineStr">
        <is>
          <t>Medium</t>
        </is>
      </c>
      <c r="F1218" t="n">
        <v>22</v>
      </c>
      <c r="G1218" t="inlineStr">
        <is>
          <t>Graphs</t>
        </is>
      </c>
      <c r="H1218" t="inlineStr">
        <is>
          <t>Dijsktra Algorithm</t>
        </is>
      </c>
      <c r="I1218" t="inlineStr">
        <is>
          <t>Cses</t>
        </is>
      </c>
      <c r="J1218" t="inlineStr">
        <is>
          <t>Problem</t>
        </is>
      </c>
    </row>
    <row r="1219">
      <c r="A1219" t="n">
        <v>941</v>
      </c>
      <c r="B1219" t="inlineStr">
        <is>
          <t>Network Delay Time</t>
        </is>
      </c>
      <c r="C1219">
        <f>HYPERLINK("https://leetcode.com/problems/network-delay-time/description/","network-delay-time")</f>
        <v/>
      </c>
      <c r="D1219" t="inlineStr">
        <is>
          <t>-</t>
        </is>
      </c>
      <c r="E1219" t="inlineStr">
        <is>
          <t>Medium</t>
        </is>
      </c>
      <c r="F1219" t="n">
        <v>22</v>
      </c>
      <c r="G1219" t="inlineStr">
        <is>
          <t>Graphs</t>
        </is>
      </c>
      <c r="H1219" t="inlineStr">
        <is>
          <t>Dijsktra Algorithm</t>
        </is>
      </c>
      <c r="I1219" t="inlineStr">
        <is>
          <t>Leetcode</t>
        </is>
      </c>
      <c r="J1219" t="inlineStr">
        <is>
          <t>Problem</t>
        </is>
      </c>
    </row>
    <row r="1220">
      <c r="A1220" t="n">
        <v>885</v>
      </c>
      <c r="B1220" t="inlineStr">
        <is>
          <t>Cheapest Flights Within K Stops</t>
        </is>
      </c>
      <c r="C1220">
        <f>HYPERLINK("https://leetcode.com/problems/cheapest-flights-within-k-stops","cheapest-flights-within-k-stops")</f>
        <v/>
      </c>
      <c r="D1220" t="inlineStr">
        <is>
          <t>-</t>
        </is>
      </c>
      <c r="E1220" t="inlineStr">
        <is>
          <t>Medium</t>
        </is>
      </c>
      <c r="F1220" t="n">
        <v>22</v>
      </c>
      <c r="G1220" t="inlineStr">
        <is>
          <t>Graphs</t>
        </is>
      </c>
      <c r="H1220" t="inlineStr">
        <is>
          <t>Dijsktra Algorithm</t>
        </is>
      </c>
      <c r="I1220" t="inlineStr">
        <is>
          <t>Leetcode</t>
        </is>
      </c>
      <c r="J1220" t="inlineStr">
        <is>
          <t>Problem</t>
        </is>
      </c>
    </row>
    <row r="1221">
      <c r="A1221" t="n">
        <v>1001</v>
      </c>
      <c r="B1221" t="inlineStr">
        <is>
          <t>Number of Ways to Arrive at Destination</t>
        </is>
      </c>
      <c r="C1221">
        <f>HYPERLINK("https://leetcode.com/problems/number-of-ways-to-arrive-at-destination/description/","number-of-ways-to-arrive-at-destination")</f>
        <v/>
      </c>
      <c r="D1221" t="inlineStr">
        <is>
          <t>-</t>
        </is>
      </c>
      <c r="E1221" t="inlineStr">
        <is>
          <t>Medium</t>
        </is>
      </c>
      <c r="F1221" t="n">
        <v>22</v>
      </c>
      <c r="G1221" t="inlineStr">
        <is>
          <t>Graphs</t>
        </is>
      </c>
      <c r="H1221" t="inlineStr">
        <is>
          <t>Dijsktra Algorithm</t>
        </is>
      </c>
      <c r="I1221" t="inlineStr">
        <is>
          <t>Leetcode</t>
        </is>
      </c>
      <c r="J1221" t="inlineStr">
        <is>
          <t>Problem</t>
        </is>
      </c>
    </row>
    <row r="1222">
      <c r="A1222" t="n">
        <v>968</v>
      </c>
      <c r="B1222" t="inlineStr">
        <is>
          <t>Path with Maximum Probability</t>
        </is>
      </c>
      <c r="C1222">
        <f>HYPERLINK("https://leetcode.com/problems/path-with-maximum-probability/description/","path-with-maximum-probability")</f>
        <v/>
      </c>
      <c r="D1222" t="inlineStr">
        <is>
          <t>-</t>
        </is>
      </c>
      <c r="E1222" t="inlineStr">
        <is>
          <t>Medium</t>
        </is>
      </c>
      <c r="F1222" t="n">
        <v>22</v>
      </c>
      <c r="G1222" t="inlineStr">
        <is>
          <t>Graphs</t>
        </is>
      </c>
      <c r="H1222" t="inlineStr">
        <is>
          <t>Dijsktra Algorithm</t>
        </is>
      </c>
      <c r="I1222" t="inlineStr">
        <is>
          <t>Leetcode</t>
        </is>
      </c>
      <c r="J1222" t="inlineStr">
        <is>
          <t>Problem</t>
        </is>
      </c>
    </row>
    <row r="1223">
      <c r="A1223" t="n">
        <v>969</v>
      </c>
      <c r="B1223" t="inlineStr">
        <is>
          <t>Path with Minimum Effort</t>
        </is>
      </c>
      <c r="C1223">
        <f>HYPERLINK("https://leetcode.com/problems/path-with-minimum-effort/description/","path-with-minimum-effort")</f>
        <v/>
      </c>
      <c r="D1223" t="inlineStr">
        <is>
          <t>-</t>
        </is>
      </c>
      <c r="E1223" t="inlineStr">
        <is>
          <t>Medium</t>
        </is>
      </c>
      <c r="F1223" t="n">
        <v>22</v>
      </c>
      <c r="G1223" t="inlineStr">
        <is>
          <t>Graphs</t>
        </is>
      </c>
      <c r="H1223" t="inlineStr">
        <is>
          <t>Dijsktra Algorithm</t>
        </is>
      </c>
      <c r="I1223" t="inlineStr">
        <is>
          <t>Leetcode</t>
        </is>
      </c>
      <c r="J1223" t="inlineStr">
        <is>
          <t>Problem</t>
        </is>
      </c>
    </row>
    <row r="1224">
      <c r="A1224" t="n">
        <v>963</v>
      </c>
      <c r="B1224" t="inlineStr">
        <is>
          <t>Number of Restricted Paths from First to Last Node</t>
        </is>
      </c>
      <c r="C1224">
        <f>HYPERLINK("https://leetcode.com/problems/number-of-restricted-paths-from-first-to-last-node/description/","number-of-restricted-paths-from-first-to-last-node")</f>
        <v/>
      </c>
      <c r="D1224" t="inlineStr">
        <is>
          <t>-</t>
        </is>
      </c>
      <c r="E1224" t="inlineStr">
        <is>
          <t>Medium</t>
        </is>
      </c>
      <c r="F1224" t="n">
        <v>22</v>
      </c>
      <c r="G1224" t="inlineStr">
        <is>
          <t>Graphs</t>
        </is>
      </c>
      <c r="H1224" t="inlineStr">
        <is>
          <t>Dijsktra Algorithm</t>
        </is>
      </c>
      <c r="I1224" t="inlineStr">
        <is>
          <t>Leetcode</t>
        </is>
      </c>
      <c r="J1224" t="inlineStr">
        <is>
          <t>Problem</t>
        </is>
      </c>
    </row>
    <row r="1225">
      <c r="A1225" t="n">
        <v>1002</v>
      </c>
      <c r="B1225" t="inlineStr">
        <is>
          <t>Reachable Nodes in Subdivided Graph</t>
        </is>
      </c>
      <c r="C1225">
        <f>HYPERLINK("https://leetcode.com/problems/reachable-nodes-in-subdivided-graph/description/","reachable-nodes-in-subdivided-graph")</f>
        <v/>
      </c>
      <c r="D1225" t="inlineStr">
        <is>
          <t>-</t>
        </is>
      </c>
      <c r="E1225" t="inlineStr">
        <is>
          <t>Hard</t>
        </is>
      </c>
      <c r="F1225" t="n">
        <v>22</v>
      </c>
      <c r="G1225" t="inlineStr">
        <is>
          <t>Graphs</t>
        </is>
      </c>
      <c r="H1225" t="inlineStr">
        <is>
          <t>Dijsktra Algorithm</t>
        </is>
      </c>
      <c r="I1225" t="inlineStr">
        <is>
          <t>Leetcode</t>
        </is>
      </c>
      <c r="J1225" t="inlineStr">
        <is>
          <t>Problem</t>
        </is>
      </c>
    </row>
    <row r="1226">
      <c r="A1226" t="n">
        <v>1535</v>
      </c>
      <c r="B1226" t="inlineStr">
        <is>
          <t>Minimum Cost to Make at Least One Valid Path in a Grid</t>
        </is>
      </c>
      <c r="C1226">
        <f>HYPERLINK("https://learnyard.com/practice/dsa","Solve Problem")</f>
        <v/>
      </c>
      <c r="D1226" t="inlineStr">
        <is>
          <t>-</t>
        </is>
      </c>
      <c r="E1226" t="inlineStr">
        <is>
          <t>Hard</t>
        </is>
      </c>
      <c r="F1226" t="n">
        <v>22</v>
      </c>
      <c r="G1226" t="inlineStr">
        <is>
          <t>Graphs</t>
        </is>
      </c>
      <c r="H1226" t="inlineStr">
        <is>
          <t>Dijsktra Algorithm</t>
        </is>
      </c>
      <c r="I1226" t="inlineStr">
        <is>
          <t>Leetcode</t>
        </is>
      </c>
      <c r="J1226" t="inlineStr">
        <is>
          <t>Problem</t>
        </is>
      </c>
    </row>
    <row r="1227">
      <c r="A1227" t="n">
        <v>1533</v>
      </c>
      <c r="B1227" t="inlineStr">
        <is>
          <t>Minimum Obstacle Removal to Reach Corner</t>
        </is>
      </c>
      <c r="C1227">
        <f>HYPERLINK("https://learnyard.com/practice/dsa","Solve Problem")</f>
        <v/>
      </c>
      <c r="D1227" t="inlineStr">
        <is>
          <t>-</t>
        </is>
      </c>
      <c r="E1227" t="inlineStr">
        <is>
          <t>Hard</t>
        </is>
      </c>
      <c r="F1227" t="n">
        <v>22</v>
      </c>
      <c r="G1227" t="inlineStr">
        <is>
          <t>Graphs</t>
        </is>
      </c>
      <c r="H1227" t="inlineStr">
        <is>
          <t>Dijsktra Algorithm</t>
        </is>
      </c>
      <c r="I1227" t="inlineStr">
        <is>
          <t>Leetcode</t>
        </is>
      </c>
      <c r="J1227" t="inlineStr">
        <is>
          <t>Problem</t>
        </is>
      </c>
    </row>
    <row r="1228">
      <c r="A1228" t="n">
        <v>984</v>
      </c>
      <c r="B1228" t="inlineStr">
        <is>
          <t>Shortest Path in Binary Matrix</t>
        </is>
      </c>
      <c r="C1228">
        <f>HYPERLINK("https://leetcode.com/problems/shortest-path-in-binary-matrix/description/","shortest-path-in-binary-matrix")</f>
        <v/>
      </c>
      <c r="D1228" t="inlineStr">
        <is>
          <t>-</t>
        </is>
      </c>
      <c r="E1228" t="inlineStr">
        <is>
          <t>Medium</t>
        </is>
      </c>
      <c r="F1228" t="n">
        <v>22</v>
      </c>
      <c r="G1228" t="inlineStr">
        <is>
          <t>Graphs</t>
        </is>
      </c>
      <c r="H1228" t="inlineStr">
        <is>
          <t>Dijsktra Algorithm</t>
        </is>
      </c>
      <c r="I1228" t="inlineStr">
        <is>
          <t>Leetcode</t>
        </is>
      </c>
      <c r="J1228" t="inlineStr">
        <is>
          <t>Problem</t>
        </is>
      </c>
    </row>
    <row r="1229">
      <c r="A1229" t="n">
        <v>940</v>
      </c>
      <c r="B1229" t="inlineStr">
        <is>
          <t>Nearest Exit from Entrance in Maze</t>
        </is>
      </c>
      <c r="C1229">
        <f>HYPERLINK("https://leetcode.com/problems/nearest-exit-from-entrance-in-maze/description/","nearest-exit-from-entrance-in-maze")</f>
        <v/>
      </c>
      <c r="D1229" t="inlineStr">
        <is>
          <t>-</t>
        </is>
      </c>
      <c r="E1229" t="inlineStr">
        <is>
          <t>Medium</t>
        </is>
      </c>
      <c r="F1229" t="n">
        <v>22</v>
      </c>
      <c r="G1229" t="inlineStr">
        <is>
          <t>Graphs</t>
        </is>
      </c>
      <c r="H1229" t="inlineStr">
        <is>
          <t>Dijsktra Algorithm</t>
        </is>
      </c>
      <c r="I1229" t="inlineStr">
        <is>
          <t>Leetcode</t>
        </is>
      </c>
      <c r="J1229" t="inlineStr">
        <is>
          <t>Problem</t>
        </is>
      </c>
    </row>
    <row r="1230">
      <c r="A1230" t="n">
        <v>933</v>
      </c>
      <c r="B1230" t="inlineStr">
        <is>
          <t>Minimum Cost to Make at Least One Valid Path in a Grid</t>
        </is>
      </c>
      <c r="C1230">
        <f>HYPERLINK("https://leetcode.com/problems/minimum-cost-to-make-at-least-one-valid-path-in-a-grid/description/","minimum-cost-to-make-at-least-one-valid-path-in-a-grid")</f>
        <v/>
      </c>
      <c r="D1230" t="inlineStr">
        <is>
          <t>-</t>
        </is>
      </c>
      <c r="E1230" t="inlineStr">
        <is>
          <t>Medium</t>
        </is>
      </c>
      <c r="F1230" t="n">
        <v>22</v>
      </c>
      <c r="G1230" t="inlineStr">
        <is>
          <t>Graphs</t>
        </is>
      </c>
      <c r="H1230" t="inlineStr">
        <is>
          <t>Dijsktra Algorithm</t>
        </is>
      </c>
      <c r="I1230" t="inlineStr">
        <is>
          <t>Leetcode</t>
        </is>
      </c>
      <c r="J1230" t="inlineStr">
        <is>
          <t>Problem</t>
        </is>
      </c>
    </row>
    <row r="1231">
      <c r="A1231" t="n">
        <v>1004</v>
      </c>
      <c r="B1231" t="inlineStr">
        <is>
          <t>Second Minimum Time to Reach Destination</t>
        </is>
      </c>
      <c r="C1231">
        <f>HYPERLINK("https://leetcode.com/problems/second-minimum-time-to-reach-destination/description/","second-minimum-time-to-reach-destination")</f>
        <v/>
      </c>
      <c r="D1231" t="inlineStr">
        <is>
          <t>-</t>
        </is>
      </c>
      <c r="E1231" t="inlineStr">
        <is>
          <t>Hard</t>
        </is>
      </c>
      <c r="F1231" t="n">
        <v>22</v>
      </c>
      <c r="G1231" t="inlineStr">
        <is>
          <t>Graphs</t>
        </is>
      </c>
      <c r="H1231" t="inlineStr">
        <is>
          <t>Dijsktra Algorithm</t>
        </is>
      </c>
      <c r="I1231" t="inlineStr">
        <is>
          <t>Leetcode</t>
        </is>
      </c>
      <c r="J1231" t="inlineStr">
        <is>
          <t>Problem</t>
        </is>
      </c>
    </row>
    <row r="1232">
      <c r="A1232" t="n">
        <v>1440</v>
      </c>
      <c r="B1232" t="inlineStr">
        <is>
          <t>High Score</t>
        </is>
      </c>
      <c r="C1232">
        <f>HYPERLINK("https://cses.fi/problemset/task/1673","Solve Problem")</f>
        <v/>
      </c>
      <c r="D1232" t="inlineStr">
        <is>
          <t>-</t>
        </is>
      </c>
      <c r="E1232" t="inlineStr">
        <is>
          <t>Medium</t>
        </is>
      </c>
      <c r="F1232" t="n">
        <v>22</v>
      </c>
      <c r="G1232" t="inlineStr">
        <is>
          <t>Graphs</t>
        </is>
      </c>
      <c r="H1232" t="inlineStr">
        <is>
          <t>Bellman Ford</t>
        </is>
      </c>
      <c r="I1232" t="inlineStr">
        <is>
          <t>Cses</t>
        </is>
      </c>
      <c r="J1232" t="inlineStr">
        <is>
          <t>Problem</t>
        </is>
      </c>
    </row>
    <row r="1233">
      <c r="A1233" t="n">
        <v>1437</v>
      </c>
      <c r="B1233" t="inlineStr">
        <is>
          <t>Cycle Finding</t>
        </is>
      </c>
      <c r="C1233">
        <f>HYPERLINK("https://cses.fi/problemset/task/1197","Solve Problem")</f>
        <v/>
      </c>
      <c r="D1233" t="inlineStr">
        <is>
          <t>-</t>
        </is>
      </c>
      <c r="E1233" t="inlineStr">
        <is>
          <t>Medium</t>
        </is>
      </c>
      <c r="F1233" t="n">
        <v>22</v>
      </c>
      <c r="G1233" t="inlineStr">
        <is>
          <t>Graphs</t>
        </is>
      </c>
      <c r="H1233" t="inlineStr">
        <is>
          <t>Bellman Ford</t>
        </is>
      </c>
      <c r="I1233" t="inlineStr">
        <is>
          <t>Cses</t>
        </is>
      </c>
      <c r="J1233" t="inlineStr">
        <is>
          <t>Problem</t>
        </is>
      </c>
    </row>
    <row r="1234">
      <c r="A1234" t="n">
        <v>883</v>
      </c>
      <c r="B1234" t="inlineStr">
        <is>
          <t>Bus Routes</t>
        </is>
      </c>
      <c r="C1234">
        <f>HYPERLINK("https://leetcode.com/problems/bus-routes/description/","bus-routes")</f>
        <v/>
      </c>
      <c r="D1234" t="inlineStr">
        <is>
          <t>-</t>
        </is>
      </c>
      <c r="E1234" t="inlineStr">
        <is>
          <t>Hard</t>
        </is>
      </c>
      <c r="F1234" t="n">
        <v>22</v>
      </c>
      <c r="G1234" t="inlineStr">
        <is>
          <t>Graphs</t>
        </is>
      </c>
      <c r="H1234" t="inlineStr">
        <is>
          <t>Bellman Ford</t>
        </is>
      </c>
      <c r="I1234" t="inlineStr">
        <is>
          <t>Leetcode</t>
        </is>
      </c>
      <c r="J1234" t="inlineStr">
        <is>
          <t>Problem</t>
        </is>
      </c>
    </row>
    <row r="1235">
      <c r="A1235" t="n">
        <v>1438</v>
      </c>
      <c r="B1235" t="inlineStr">
        <is>
          <t>Road Construction</t>
        </is>
      </c>
      <c r="C1235">
        <f>HYPERLINK("https://cses.fi/problemset/task/1672/","Solve Problem")</f>
        <v/>
      </c>
      <c r="D1235" t="inlineStr">
        <is>
          <t>-</t>
        </is>
      </c>
      <c r="E1235" t="inlineStr">
        <is>
          <t>Medium</t>
        </is>
      </c>
      <c r="F1235" t="n">
        <v>22</v>
      </c>
      <c r="G1235" t="inlineStr">
        <is>
          <t>Graphs</t>
        </is>
      </c>
      <c r="H1235" t="inlineStr">
        <is>
          <t>Floyd Warshall</t>
        </is>
      </c>
      <c r="I1235" t="inlineStr">
        <is>
          <t>Cses</t>
        </is>
      </c>
      <c r="J1235" t="inlineStr">
        <is>
          <t>Problem</t>
        </is>
      </c>
    </row>
    <row r="1236">
      <c r="A1236" t="n">
        <v>1009</v>
      </c>
      <c r="B1236" t="inlineStr">
        <is>
          <t>Course Schedule IV</t>
        </is>
      </c>
      <c r="C1236">
        <f>HYPERLINK("https://leetcode.com/problems/course-schedule-iv","course-schedule-iv")</f>
        <v/>
      </c>
      <c r="D1236" t="inlineStr">
        <is>
          <t>-</t>
        </is>
      </c>
      <c r="E1236" t="inlineStr">
        <is>
          <t>Medium</t>
        </is>
      </c>
      <c r="F1236" t="n">
        <v>22</v>
      </c>
      <c r="G1236" t="inlineStr">
        <is>
          <t>Graphs</t>
        </is>
      </c>
      <c r="H1236" t="inlineStr">
        <is>
          <t>Floyd Warshall</t>
        </is>
      </c>
      <c r="I1236" t="inlineStr">
        <is>
          <t>Leetcode</t>
        </is>
      </c>
      <c r="J1236" t="inlineStr">
        <is>
          <t>Problem</t>
        </is>
      </c>
    </row>
    <row r="1237">
      <c r="A1237" t="n">
        <v>904</v>
      </c>
      <c r="B1237" t="inlineStr">
        <is>
          <t>Find the City With the Smallest Number of Neighbors at a Threshold Distance</t>
        </is>
      </c>
      <c r="C1237">
        <f>HYPERLINK("https://leetcode.com/problems/find-the-city-with-the-smallest-number-of-neighbors-at-a-threshold-distance/description/","find-the-city-with-the-smallest-number-of-neighbors-at-a-threshold-distance")</f>
        <v/>
      </c>
      <c r="D1237" t="inlineStr">
        <is>
          <t>-</t>
        </is>
      </c>
      <c r="E1237" t="inlineStr">
        <is>
          <t>Medium</t>
        </is>
      </c>
      <c r="F1237" t="n">
        <v>22</v>
      </c>
      <c r="G1237" t="inlineStr">
        <is>
          <t>Graphs</t>
        </is>
      </c>
      <c r="H1237" t="inlineStr">
        <is>
          <t>Floyd Warshall</t>
        </is>
      </c>
      <c r="I1237" t="inlineStr">
        <is>
          <t>Leetcode</t>
        </is>
      </c>
      <c r="J1237" t="inlineStr">
        <is>
          <t>Problem</t>
        </is>
      </c>
    </row>
    <row r="1238">
      <c r="A1238" t="n">
        <v>888</v>
      </c>
      <c r="B1238" t="inlineStr">
        <is>
          <t>Count the Number of Houses at a Certain Distance I</t>
        </is>
      </c>
      <c r="C1238">
        <f>HYPERLINK("https://leetcode.com/problems/count-the-number-of-houses-at-a-certain-distance-i/description/","count-the-number-of-houses-at-a-certain-distance-i")</f>
        <v/>
      </c>
      <c r="D1238" t="inlineStr">
        <is>
          <t>-</t>
        </is>
      </c>
      <c r="E1238" t="inlineStr">
        <is>
          <t>Medium</t>
        </is>
      </c>
      <c r="F1238" t="n">
        <v>22</v>
      </c>
      <c r="G1238" t="inlineStr">
        <is>
          <t>Graphs</t>
        </is>
      </c>
      <c r="H1238" t="inlineStr">
        <is>
          <t>Floyd Warshall</t>
        </is>
      </c>
      <c r="I1238" t="inlineStr">
        <is>
          <t>Leetcode</t>
        </is>
      </c>
      <c r="J1238" t="inlineStr">
        <is>
          <t>Problem</t>
        </is>
      </c>
    </row>
    <row r="1239">
      <c r="A1239" t="n">
        <v>932</v>
      </c>
      <c r="B1239" t="inlineStr">
        <is>
          <t>Minimum Cost to Convert String I</t>
        </is>
      </c>
      <c r="C1239">
        <f>HYPERLINK("https://leetcode.com/problems/minimum-cost-to-convert-string-i/","minimum-cost-to-convert-string-i")</f>
        <v/>
      </c>
      <c r="D1239" t="inlineStr">
        <is>
          <t>-</t>
        </is>
      </c>
      <c r="E1239" t="inlineStr">
        <is>
          <t>Medium</t>
        </is>
      </c>
      <c r="F1239" t="n">
        <v>22</v>
      </c>
      <c r="G1239" t="inlineStr">
        <is>
          <t>Graphs</t>
        </is>
      </c>
      <c r="H1239" t="inlineStr">
        <is>
          <t>Floyd Warshall</t>
        </is>
      </c>
      <c r="I1239" t="inlineStr">
        <is>
          <t>Leetcode</t>
        </is>
      </c>
      <c r="J1239" t="inlineStr">
        <is>
          <t>Problem</t>
        </is>
      </c>
    </row>
    <row r="1240">
      <c r="A1240" t="n">
        <v>1424</v>
      </c>
      <c r="B1240" t="inlineStr">
        <is>
          <t>Greg and Array</t>
        </is>
      </c>
      <c r="C1240">
        <f>HYPERLINK("https://codeforces.com/problemset/problem/295/B","Solve Problem")</f>
        <v/>
      </c>
      <c r="D1240" t="inlineStr">
        <is>
          <t>-</t>
        </is>
      </c>
      <c r="E1240" t="inlineStr">
        <is>
          <t>Medium</t>
        </is>
      </c>
      <c r="F1240" t="n">
        <v>22</v>
      </c>
      <c r="G1240" t="inlineStr">
        <is>
          <t>Graphs</t>
        </is>
      </c>
      <c r="H1240" t="inlineStr">
        <is>
          <t>Floyd Warshall</t>
        </is>
      </c>
      <c r="I1240" t="inlineStr">
        <is>
          <t>Codeforces</t>
        </is>
      </c>
      <c r="J1240" t="inlineStr">
        <is>
          <t>Problem</t>
        </is>
      </c>
    </row>
    <row r="1241">
      <c r="A1241" t="n">
        <v>892</v>
      </c>
      <c r="B1241" t="inlineStr">
        <is>
          <t>Design Graph With Shortest Path Calculator</t>
        </is>
      </c>
      <c r="C1241">
        <f>HYPERLINK("https://leetcode.com/problems/design-graph-with-shortest-path-calculator","design-graph-with-shortest-path-calculator")</f>
        <v/>
      </c>
      <c r="D1241" t="inlineStr">
        <is>
          <t>-</t>
        </is>
      </c>
      <c r="E1241" t="inlineStr">
        <is>
          <t>Hard</t>
        </is>
      </c>
      <c r="F1241" t="n">
        <v>22</v>
      </c>
      <c r="G1241" t="inlineStr">
        <is>
          <t>Graphs</t>
        </is>
      </c>
      <c r="H1241" t="inlineStr">
        <is>
          <t>Floyd Warshall</t>
        </is>
      </c>
      <c r="I1241" t="inlineStr">
        <is>
          <t>Leetcode</t>
        </is>
      </c>
      <c r="J1241" t="inlineStr">
        <is>
          <t>Problem</t>
        </is>
      </c>
    </row>
    <row r="1242">
      <c r="A1242" t="n">
        <v>962</v>
      </c>
      <c r="B1242" t="inlineStr">
        <is>
          <t>Number of Possible Sets of Closing Branches</t>
        </is>
      </c>
      <c r="C1242">
        <f>HYPERLINK("https://leetcode.com/problems/number-of-possible-sets-of-closing-branches/description/","number-of-possible-sets-of-closing-branches")</f>
        <v/>
      </c>
      <c r="D1242" t="inlineStr">
        <is>
          <t>-</t>
        </is>
      </c>
      <c r="E1242" t="inlineStr">
        <is>
          <t>Hard</t>
        </is>
      </c>
      <c r="F1242" t="n">
        <v>22</v>
      </c>
      <c r="G1242" t="inlineStr">
        <is>
          <t>Graphs</t>
        </is>
      </c>
      <c r="H1242" t="inlineStr">
        <is>
          <t>Floyd Warshall</t>
        </is>
      </c>
      <c r="I1242" t="inlineStr">
        <is>
          <t>Leetcode</t>
        </is>
      </c>
      <c r="J1242" t="inlineStr">
        <is>
          <t>Problem</t>
        </is>
      </c>
    </row>
    <row r="1243">
      <c r="A1243" t="n">
        <v>906</v>
      </c>
      <c r="B1243" t="inlineStr">
        <is>
          <t>Find the Shortest Superstring</t>
        </is>
      </c>
      <c r="C1243">
        <f>HYPERLINK("https://leetcode.com/problems/find-the-shortest-superstring/description/","find-the-shortest-superstring")</f>
        <v/>
      </c>
      <c r="D1243" t="inlineStr">
        <is>
          <t>-</t>
        </is>
      </c>
      <c r="E1243" t="inlineStr">
        <is>
          <t>Hard</t>
        </is>
      </c>
      <c r="F1243" t="n">
        <v>22</v>
      </c>
      <c r="G1243" t="inlineStr">
        <is>
          <t>Graphs</t>
        </is>
      </c>
      <c r="H1243" t="inlineStr">
        <is>
          <t>Travelling Salesman Problem</t>
        </is>
      </c>
      <c r="I1243" t="inlineStr">
        <is>
          <t>Leetcode</t>
        </is>
      </c>
      <c r="J1243" t="inlineStr">
        <is>
          <t>Problem</t>
        </is>
      </c>
    </row>
    <row r="1244">
      <c r="A1244" t="n">
        <v>973</v>
      </c>
      <c r="B1244" t="inlineStr">
        <is>
          <t>Redundant Connection</t>
        </is>
      </c>
      <c r="C1244">
        <f>HYPERLINK("https://leetcode.com/problems/redundant-connection/","redundant-connection")</f>
        <v/>
      </c>
      <c r="D1244" t="inlineStr">
        <is>
          <t>-</t>
        </is>
      </c>
      <c r="E1244" t="inlineStr">
        <is>
          <t>Medium</t>
        </is>
      </c>
      <c r="F1244" t="n">
        <v>22</v>
      </c>
      <c r="G1244" t="inlineStr">
        <is>
          <t>Graphs</t>
        </is>
      </c>
      <c r="H1244" t="inlineStr">
        <is>
          <t>Disjoint Set Union</t>
        </is>
      </c>
      <c r="I1244" t="inlineStr">
        <is>
          <t>Leetcode</t>
        </is>
      </c>
      <c r="J1244" t="inlineStr">
        <is>
          <t>Problem</t>
        </is>
      </c>
    </row>
    <row r="1245">
      <c r="A1245" t="n">
        <v>1003</v>
      </c>
      <c r="B1245" t="inlineStr">
        <is>
          <t>Satisfiability of Equality Equations</t>
        </is>
      </c>
      <c r="C1245">
        <f>HYPERLINK("https://leetcode.com/problems/satisfiability-of-equality-equations/","satisfiability-of-equality-equations")</f>
        <v/>
      </c>
      <c r="D1245" t="inlineStr">
        <is>
          <t>-</t>
        </is>
      </c>
      <c r="E1245" t="inlineStr">
        <is>
          <t>Medium</t>
        </is>
      </c>
      <c r="F1245" t="n">
        <v>22</v>
      </c>
      <c r="G1245" t="inlineStr">
        <is>
          <t>Graphs</t>
        </is>
      </c>
      <c r="H1245" t="inlineStr">
        <is>
          <t>Disjoint Set Union</t>
        </is>
      </c>
      <c r="I1245" t="inlineStr">
        <is>
          <t>Leetcode</t>
        </is>
      </c>
      <c r="J1245" t="inlineStr">
        <is>
          <t>Problem</t>
        </is>
      </c>
    </row>
    <row r="1246">
      <c r="A1246" t="n">
        <v>987</v>
      </c>
      <c r="B1246" t="inlineStr">
        <is>
          <t>Smallest String With Swaps</t>
        </is>
      </c>
      <c r="C1246">
        <f>HYPERLINK("https://leetcode.com/problems/smallest-string-with-swaps/","smallest-string-with-swaps")</f>
        <v/>
      </c>
      <c r="D1246" t="inlineStr">
        <is>
          <t>-</t>
        </is>
      </c>
      <c r="E1246" t="inlineStr">
        <is>
          <t>Medium</t>
        </is>
      </c>
      <c r="F1246" t="n">
        <v>22</v>
      </c>
      <c r="G1246" t="inlineStr">
        <is>
          <t>Graphs</t>
        </is>
      </c>
      <c r="H1246" t="inlineStr">
        <is>
          <t>Disjoint Set Union</t>
        </is>
      </c>
      <c r="I1246" t="inlineStr">
        <is>
          <t>Leetcode</t>
        </is>
      </c>
      <c r="J1246" t="inlineStr">
        <is>
          <t>Problem</t>
        </is>
      </c>
    </row>
    <row r="1247">
      <c r="A1247" t="n">
        <v>879</v>
      </c>
      <c r="B1247" t="inlineStr">
        <is>
          <t>Accounts Merge</t>
        </is>
      </c>
      <c r="C1247">
        <f>HYPERLINK("https://leetcode.com/problems/accounts-merge/","accounts-merge")</f>
        <v/>
      </c>
      <c r="D1247" t="inlineStr">
        <is>
          <t>-</t>
        </is>
      </c>
      <c r="E1247" t="inlineStr">
        <is>
          <t>Medium</t>
        </is>
      </c>
      <c r="F1247" t="n">
        <v>22</v>
      </c>
      <c r="G1247" t="inlineStr">
        <is>
          <t>Graphs</t>
        </is>
      </c>
      <c r="H1247" t="inlineStr">
        <is>
          <t>Disjoint Set Union</t>
        </is>
      </c>
      <c r="I1247" t="inlineStr">
        <is>
          <t>Leetcode</t>
        </is>
      </c>
      <c r="J1247" t="inlineStr">
        <is>
          <t>Problem</t>
        </is>
      </c>
    </row>
    <row r="1248">
      <c r="A1248" t="n">
        <v>939</v>
      </c>
      <c r="B1248" t="inlineStr">
        <is>
          <t>Most Stones Removed with Same Row or Column</t>
        </is>
      </c>
      <c r="C1248">
        <f>HYPERLINK("https://leetcode.com/problems/most-stones-removed-with-same-row-or-column/","most-stones-removed-with-same-row-or-column")</f>
        <v/>
      </c>
      <c r="D1248" t="inlineStr">
        <is>
          <t>-</t>
        </is>
      </c>
      <c r="E1248" t="inlineStr">
        <is>
          <t>Medium</t>
        </is>
      </c>
      <c r="F1248" t="n">
        <v>22</v>
      </c>
      <c r="G1248" t="inlineStr">
        <is>
          <t>Graphs</t>
        </is>
      </c>
      <c r="H1248" t="inlineStr">
        <is>
          <t>Disjoint Set Union</t>
        </is>
      </c>
      <c r="I1248" t="inlineStr">
        <is>
          <t>Leetcode</t>
        </is>
      </c>
      <c r="J1248" t="inlineStr">
        <is>
          <t>Problem</t>
        </is>
      </c>
    </row>
    <row r="1249">
      <c r="A1249" t="n">
        <v>952</v>
      </c>
      <c r="B1249" t="inlineStr">
        <is>
          <t>Find Latest Group of Size M</t>
        </is>
      </c>
      <c r="C1249">
        <f>HYPERLINK("https://leetcode.com/problems/find-latest-group-of-size-m/","find-latest-group-of-size-m")</f>
        <v/>
      </c>
      <c r="D1249" t="inlineStr">
        <is>
          <t>-</t>
        </is>
      </c>
      <c r="E1249" t="inlineStr">
        <is>
          <t>Medium</t>
        </is>
      </c>
      <c r="F1249" t="n">
        <v>22</v>
      </c>
      <c r="G1249" t="inlineStr">
        <is>
          <t>Graphs</t>
        </is>
      </c>
      <c r="H1249" t="inlineStr">
        <is>
          <t>Disjoint Set Union</t>
        </is>
      </c>
      <c r="I1249" t="inlineStr">
        <is>
          <t>Leetcode</t>
        </is>
      </c>
      <c r="J1249" t="inlineStr">
        <is>
          <t>Problem</t>
        </is>
      </c>
    </row>
    <row r="1250">
      <c r="A1250" t="n">
        <v>974</v>
      </c>
      <c r="B1250" t="inlineStr">
        <is>
          <t>Redundant Connection II</t>
        </is>
      </c>
      <c r="C1250">
        <f>HYPERLINK("https://leetcode.com/problems/redundant-connection-ii/","redundant-connection-ii")</f>
        <v/>
      </c>
      <c r="D1250" t="inlineStr">
        <is>
          <t>-</t>
        </is>
      </c>
      <c r="E1250" t="inlineStr">
        <is>
          <t>Hard</t>
        </is>
      </c>
      <c r="F1250" t="n">
        <v>22</v>
      </c>
      <c r="G1250" t="inlineStr">
        <is>
          <t>Graphs</t>
        </is>
      </c>
      <c r="H1250" t="inlineStr">
        <is>
          <t>Disjoint Set Union</t>
        </is>
      </c>
      <c r="I1250" t="inlineStr">
        <is>
          <t>Leetcode</t>
        </is>
      </c>
      <c r="J1250" t="inlineStr">
        <is>
          <t>Problem</t>
        </is>
      </c>
    </row>
    <row r="1251">
      <c r="A1251" t="n">
        <v>998</v>
      </c>
      <c r="B1251" t="inlineStr">
        <is>
          <t>Making a Large Island</t>
        </is>
      </c>
      <c r="C1251">
        <f>HYPERLINK("https://leetcode.com/problems/making-a-large-island/","making-a-large-island")</f>
        <v/>
      </c>
      <c r="D1251" t="inlineStr">
        <is>
          <t>-</t>
        </is>
      </c>
      <c r="E1251" t="inlineStr">
        <is>
          <t>Hard</t>
        </is>
      </c>
      <c r="F1251" t="n">
        <v>22</v>
      </c>
      <c r="G1251" t="inlineStr">
        <is>
          <t>Graphs</t>
        </is>
      </c>
      <c r="H1251" t="inlineStr">
        <is>
          <t>Disjoint Set Union</t>
        </is>
      </c>
      <c r="I1251" t="inlineStr">
        <is>
          <t>Leetcode</t>
        </is>
      </c>
      <c r="J1251" t="inlineStr">
        <is>
          <t>Problem</t>
        </is>
      </c>
    </row>
    <row r="1252">
      <c r="A1252" t="n">
        <v>909</v>
      </c>
      <c r="B1252" t="inlineStr">
        <is>
          <t>GCD Sort of an Array</t>
        </is>
      </c>
      <c r="C1252">
        <f>HYPERLINK("https://leetcode.com/problems/gcd-sort-of-an-array/description/","gcd-sort-of-an-array")</f>
        <v/>
      </c>
      <c r="D1252" t="inlineStr">
        <is>
          <t>-</t>
        </is>
      </c>
      <c r="E1252" t="inlineStr">
        <is>
          <t>Hard</t>
        </is>
      </c>
      <c r="F1252" t="n">
        <v>22</v>
      </c>
      <c r="G1252" t="inlineStr">
        <is>
          <t>Graphs</t>
        </is>
      </c>
      <c r="H1252" t="inlineStr">
        <is>
          <t>Disjoint Set Union</t>
        </is>
      </c>
      <c r="I1252" t="inlineStr">
        <is>
          <t>Leetcode</t>
        </is>
      </c>
      <c r="J1252" t="inlineStr">
        <is>
          <t>Problem</t>
        </is>
      </c>
    </row>
    <row r="1253">
      <c r="A1253" t="n">
        <v>882</v>
      </c>
      <c r="B1253" t="inlineStr">
        <is>
          <t>Bricks Falling When Hit</t>
        </is>
      </c>
      <c r="C1253">
        <f>HYPERLINK("https://leetcode.com/problems/bricks-falling-when-hit/","bricks-falling-when-hit")</f>
        <v/>
      </c>
      <c r="D1253" t="inlineStr">
        <is>
          <t>-</t>
        </is>
      </c>
      <c r="E1253" t="inlineStr">
        <is>
          <t>Hard</t>
        </is>
      </c>
      <c r="F1253" t="n">
        <v>22</v>
      </c>
      <c r="G1253" t="inlineStr">
        <is>
          <t>Graphs</t>
        </is>
      </c>
      <c r="H1253" t="inlineStr">
        <is>
          <t>Disjoint Set Union</t>
        </is>
      </c>
      <c r="I1253" t="inlineStr">
        <is>
          <t>Leetcode</t>
        </is>
      </c>
      <c r="J1253" t="inlineStr">
        <is>
          <t>Problem</t>
        </is>
      </c>
    </row>
    <row r="1254">
      <c r="A1254" t="n">
        <v>1008</v>
      </c>
      <c r="B1254" t="inlineStr">
        <is>
          <t>Checking Existence of Edge Length Limited Paths</t>
        </is>
      </c>
      <c r="C1254">
        <f>HYPERLINK("https://leetcode.com/problems/checking-existence-of-edge-length-limited-paths/","checking-existence-of-edge-length-limited-paths")</f>
        <v/>
      </c>
      <c r="D1254" t="inlineStr">
        <is>
          <t>-</t>
        </is>
      </c>
      <c r="E1254" t="inlineStr">
        <is>
          <t>Hard</t>
        </is>
      </c>
      <c r="F1254" t="n">
        <v>22</v>
      </c>
      <c r="G1254" t="inlineStr">
        <is>
          <t>Graphs</t>
        </is>
      </c>
      <c r="H1254" t="inlineStr">
        <is>
          <t>Disjoint Set Union</t>
        </is>
      </c>
      <c r="I1254" t="inlineStr">
        <is>
          <t>Leetcode</t>
        </is>
      </c>
      <c r="J1254" t="inlineStr">
        <is>
          <t>Problem</t>
        </is>
      </c>
    </row>
    <row r="1255">
      <c r="A1255" t="n">
        <v>976</v>
      </c>
      <c r="B1255" t="inlineStr">
        <is>
          <t>Remove Max Number of Edges to Keep Graph Fully Traversable</t>
        </is>
      </c>
      <c r="C1255">
        <f>HYPERLINK("https://leetcode.com/problems/remove-max-number-of-edges-to-keep-graph-fully-traversable/","remove-max-number-of-edges-to-keep-graph-fully-traversable")</f>
        <v/>
      </c>
      <c r="D1255" t="inlineStr">
        <is>
          <t>-</t>
        </is>
      </c>
      <c r="E1255" t="inlineStr">
        <is>
          <t>Hard</t>
        </is>
      </c>
      <c r="F1255" t="n">
        <v>22</v>
      </c>
      <c r="G1255" t="inlineStr">
        <is>
          <t>Graphs</t>
        </is>
      </c>
      <c r="H1255" t="inlineStr">
        <is>
          <t>Disjoint Set Union</t>
        </is>
      </c>
      <c r="I1255" t="inlineStr">
        <is>
          <t>Leetcode</t>
        </is>
      </c>
      <c r="J1255" t="inlineStr">
        <is>
          <t>Problem</t>
        </is>
      </c>
    </row>
    <row r="1256">
      <c r="A1256" t="n">
        <v>972</v>
      </c>
      <c r="B1256" t="inlineStr">
        <is>
          <t>Rank Transform of a Matrix</t>
        </is>
      </c>
      <c r="C1256">
        <f>HYPERLINK("https://leetcode.com/problems/rank-transform-of-a-matrix","rank-transform-of-a-matrix")</f>
        <v/>
      </c>
      <c r="D1256" t="inlineStr">
        <is>
          <t>-</t>
        </is>
      </c>
      <c r="E1256" t="inlineStr">
        <is>
          <t>Hard</t>
        </is>
      </c>
      <c r="F1256" t="n">
        <v>22</v>
      </c>
      <c r="G1256" t="inlineStr">
        <is>
          <t>Graphs</t>
        </is>
      </c>
      <c r="H1256" t="inlineStr">
        <is>
          <t>Disjoint Set Union</t>
        </is>
      </c>
      <c r="I1256" t="inlineStr">
        <is>
          <t>Leetcode</t>
        </is>
      </c>
      <c r="J1256" t="inlineStr">
        <is>
          <t>Problem</t>
        </is>
      </c>
    </row>
    <row r="1257">
      <c r="A1257" t="n">
        <v>1256</v>
      </c>
      <c r="B1257" t="inlineStr">
        <is>
          <t>Prim’s Minimum Spanning Tree (MST) – Greedy Algorithm</t>
        </is>
      </c>
      <c r="C1257">
        <f>HYPERLINK("https://www.geeksforgeeks.org/prims-minimum-spanning-tree-mst-greedy-algo-5/","Solve Problem")</f>
        <v/>
      </c>
      <c r="D1257" t="inlineStr">
        <is>
          <t>-</t>
        </is>
      </c>
      <c r="E1257" t="inlineStr">
        <is>
          <t>Theory</t>
        </is>
      </c>
      <c r="F1257" t="n">
        <v>22</v>
      </c>
      <c r="G1257" t="inlineStr">
        <is>
          <t>Graphs</t>
        </is>
      </c>
      <c r="H1257" t="inlineStr">
        <is>
          <t>Minimum Spanning Tree</t>
        </is>
      </c>
      <c r="I1257" t="inlineStr">
        <is>
          <t>Geeksforgeeks</t>
        </is>
      </c>
      <c r="J1257" t="inlineStr">
        <is>
          <t>Lesson</t>
        </is>
      </c>
    </row>
    <row r="1258">
      <c r="A1258" t="n">
        <v>1257</v>
      </c>
      <c r="B1258" t="inlineStr">
        <is>
          <t>Kruskal’s Minimum Spanning Tree Algorithm – Greedy Algorithm</t>
        </is>
      </c>
      <c r="C1258">
        <f>HYPERLINK("https://www.geeksforgeeks.org/kruskals-minimum-spanning-tree-algorithm-greedy-algo-2/","Solve Problem")</f>
        <v/>
      </c>
      <c r="D1258" t="inlineStr">
        <is>
          <t>-</t>
        </is>
      </c>
      <c r="E1258" t="inlineStr">
        <is>
          <t>Theory</t>
        </is>
      </c>
      <c r="F1258" t="n">
        <v>22</v>
      </c>
      <c r="G1258" t="inlineStr">
        <is>
          <t>Graphs</t>
        </is>
      </c>
      <c r="H1258" t="inlineStr">
        <is>
          <t>Minimum Spanning Tree</t>
        </is>
      </c>
      <c r="I1258" t="inlineStr">
        <is>
          <t>Geeksforgeeks</t>
        </is>
      </c>
      <c r="J1258" t="inlineStr">
        <is>
          <t>Lesson</t>
        </is>
      </c>
    </row>
    <row r="1259">
      <c r="A1259" t="n">
        <v>1500</v>
      </c>
      <c r="B1259" t="inlineStr">
        <is>
          <t>Minimum Spanning Tree</t>
        </is>
      </c>
      <c r="C1259">
        <f>HYPERLINK("https://www.geeksforgeeks.org/problems/minimum-spanning-tree/1","Solve Problem")</f>
        <v/>
      </c>
      <c r="D1259" t="inlineStr">
        <is>
          <t>-</t>
        </is>
      </c>
      <c r="E1259" t="inlineStr">
        <is>
          <t>Medium</t>
        </is>
      </c>
      <c r="F1259" t="n">
        <v>22</v>
      </c>
      <c r="G1259" t="inlineStr">
        <is>
          <t>Graphs</t>
        </is>
      </c>
      <c r="H1259" t="inlineStr">
        <is>
          <t>Minimum Spanning Tree</t>
        </is>
      </c>
      <c r="I1259" t="inlineStr">
        <is>
          <t>Geeksforgeeks</t>
        </is>
      </c>
      <c r="J1259" t="inlineStr">
        <is>
          <t>Problem</t>
        </is>
      </c>
    </row>
    <row r="1260">
      <c r="A1260" t="n">
        <v>931</v>
      </c>
      <c r="B1260" t="inlineStr">
        <is>
          <t>Min Cost to Connect All Points</t>
        </is>
      </c>
      <c r="C1260">
        <f>HYPERLINK("https://leetcode.com/problems/min-cost-to-connect-all-points/","min-cost-to-connect-all-points")</f>
        <v/>
      </c>
      <c r="D1260" t="inlineStr">
        <is>
          <t>-</t>
        </is>
      </c>
      <c r="E1260" t="inlineStr">
        <is>
          <t>Hard</t>
        </is>
      </c>
      <c r="F1260" t="n">
        <v>22</v>
      </c>
      <c r="G1260" t="inlineStr">
        <is>
          <t>Graphs</t>
        </is>
      </c>
      <c r="H1260" t="inlineStr">
        <is>
          <t>Minimum Spanning Tree</t>
        </is>
      </c>
      <c r="I1260" t="inlineStr">
        <is>
          <t>Leetcode</t>
        </is>
      </c>
      <c r="J1260" t="inlineStr">
        <is>
          <t>Problem</t>
        </is>
      </c>
    </row>
    <row r="1261">
      <c r="A1261" t="n">
        <v>1523</v>
      </c>
      <c r="B1261" t="inlineStr">
        <is>
          <t>Water Connection Problem</t>
        </is>
      </c>
      <c r="C1261">
        <f>HYPERLINK("https://www.geeksforgeeks.org/problems/water-connection-problem5822/1","Solve Problem")</f>
        <v/>
      </c>
      <c r="D1261" t="inlineStr">
        <is>
          <t>-</t>
        </is>
      </c>
      <c r="E1261" t="inlineStr">
        <is>
          <t>Hard</t>
        </is>
      </c>
      <c r="F1261" t="n">
        <v>22</v>
      </c>
      <c r="G1261" t="inlineStr">
        <is>
          <t>Graphs</t>
        </is>
      </c>
      <c r="H1261" t="inlineStr">
        <is>
          <t>Minimum Spanning Tree</t>
        </is>
      </c>
      <c r="I1261" t="inlineStr">
        <is>
          <t>Geeksforgeeks</t>
        </is>
      </c>
      <c r="J1261" t="inlineStr">
        <is>
          <t>Problem</t>
        </is>
      </c>
    </row>
    <row r="1262">
      <c r="A1262" t="n">
        <v>1525</v>
      </c>
      <c r="B1262" t="inlineStr">
        <is>
          <t>Connecting Cities with Minimum Cost</t>
        </is>
      </c>
      <c r="C1262">
        <f>HYPERLINK("https://www.naukri.com/code360/problems/connecting-cities-with-minimum-cost_1386586","Solve Problem")</f>
        <v/>
      </c>
      <c r="D1262" t="inlineStr">
        <is>
          <t>-</t>
        </is>
      </c>
      <c r="E1262" t="inlineStr">
        <is>
          <t>Medium</t>
        </is>
      </c>
      <c r="F1262" t="n">
        <v>22</v>
      </c>
      <c r="G1262" t="inlineStr">
        <is>
          <t>Graphs</t>
        </is>
      </c>
      <c r="H1262" t="inlineStr">
        <is>
          <t>Minimum Spanning Tree</t>
        </is>
      </c>
      <c r="I1262" t="inlineStr">
        <is>
          <t>Naukri</t>
        </is>
      </c>
      <c r="J1262" t="inlineStr">
        <is>
          <t>Problem</t>
        </is>
      </c>
    </row>
    <row r="1263">
      <c r="A1263" t="n">
        <v>901</v>
      </c>
      <c r="B1263" t="inlineStr">
        <is>
          <t>Find Critical and Pseudo-Critical Edges in Minimum Spanning Tree</t>
        </is>
      </c>
      <c r="C1263">
        <f>HYPERLINK("https://leetcode.com/problems/find-critical-and-pseudo-critical-edges-in-minimum-spanning-tree/","find-critical-and-pseudo-critical-edges-in-minimum-spanning-tree")</f>
        <v/>
      </c>
      <c r="D1263" t="inlineStr">
        <is>
          <t>-</t>
        </is>
      </c>
      <c r="E1263" t="inlineStr">
        <is>
          <t>Hard</t>
        </is>
      </c>
      <c r="F1263" t="n">
        <v>22</v>
      </c>
      <c r="G1263" t="inlineStr">
        <is>
          <t>Graphs</t>
        </is>
      </c>
      <c r="H1263" t="inlineStr">
        <is>
          <t>Minimum Spanning Tree</t>
        </is>
      </c>
      <c r="I1263" t="inlineStr">
        <is>
          <t>Leetcode</t>
        </is>
      </c>
      <c r="J1263" t="inlineStr">
        <is>
          <t>Problem</t>
        </is>
      </c>
    </row>
    <row r="1264">
      <c r="A1264" t="n">
        <v>976</v>
      </c>
      <c r="B1264" t="inlineStr">
        <is>
          <t>Remove Max Number of Edges to Keep Graph Fully Traversable</t>
        </is>
      </c>
      <c r="C1264">
        <f>HYPERLINK("https://leetcode.com/problems/remove-max-number-of-edges-to-keep-graph-fully-traversable/","remove-max-number-of-edges-to-keep-graph-fully-traversable")</f>
        <v/>
      </c>
      <c r="D1264" t="inlineStr">
        <is>
          <t>-</t>
        </is>
      </c>
      <c r="E1264" t="inlineStr">
        <is>
          <t>Hard</t>
        </is>
      </c>
      <c r="F1264" t="n">
        <v>22</v>
      </c>
      <c r="G1264" t="inlineStr">
        <is>
          <t>Graphs</t>
        </is>
      </c>
      <c r="H1264" t="inlineStr">
        <is>
          <t>Minimum Spanning Tree</t>
        </is>
      </c>
      <c r="I1264" t="inlineStr">
        <is>
          <t>Leetcode</t>
        </is>
      </c>
      <c r="J1264" t="inlineStr">
        <is>
          <t>Problem</t>
        </is>
      </c>
    </row>
    <row r="1265">
      <c r="A1265" t="n">
        <v>1264</v>
      </c>
      <c r="B1265" t="inlineStr">
        <is>
          <t>Articulation Points (or Cut Vertices) in a Graph</t>
        </is>
      </c>
      <c r="C1265">
        <f>HYPERLINK("https://www.geeksforgeeks.org/articulation-points-or-cut-vertices-in-a-graph/","Solve Problem")</f>
        <v/>
      </c>
      <c r="D1265" t="inlineStr">
        <is>
          <t>-</t>
        </is>
      </c>
      <c r="E1265" t="inlineStr">
        <is>
          <t>Theory</t>
        </is>
      </c>
      <c r="F1265" t="n">
        <v>22</v>
      </c>
      <c r="G1265" t="inlineStr">
        <is>
          <t>Graphs</t>
        </is>
      </c>
      <c r="H1265" t="inlineStr">
        <is>
          <t>Additional Graph Algorithm</t>
        </is>
      </c>
      <c r="I1265" t="inlineStr">
        <is>
          <t>Geeksforgeeks</t>
        </is>
      </c>
      <c r="J1265" t="inlineStr">
        <is>
          <t>Lesson</t>
        </is>
      </c>
    </row>
    <row r="1266">
      <c r="A1266" t="n">
        <v>1265</v>
      </c>
      <c r="B1266" t="inlineStr">
        <is>
          <t>Strongly Connected Components</t>
        </is>
      </c>
      <c r="C1266">
        <f>HYPERLINK("https://www.geeksforgeeks.org/strongly-connected-components/","Solve Problem")</f>
        <v/>
      </c>
      <c r="D1266" t="inlineStr">
        <is>
          <t>-</t>
        </is>
      </c>
      <c r="E1266" t="inlineStr">
        <is>
          <t>Theory</t>
        </is>
      </c>
      <c r="F1266" t="n">
        <v>22</v>
      </c>
      <c r="G1266" t="inlineStr">
        <is>
          <t>Graphs</t>
        </is>
      </c>
      <c r="H1266" t="inlineStr">
        <is>
          <t>Additional Graph Algorithm</t>
        </is>
      </c>
      <c r="I1266" t="inlineStr">
        <is>
          <t>Geeksforgeeks</t>
        </is>
      </c>
      <c r="J1266" t="inlineStr">
        <is>
          <t>Lesson</t>
        </is>
      </c>
    </row>
    <row r="1267">
      <c r="A1267" t="n">
        <v>889</v>
      </c>
      <c r="B1267" t="inlineStr">
        <is>
          <t>Critical Connections in a Network</t>
        </is>
      </c>
      <c r="C1267">
        <f>HYPERLINK("https://leetcode.com/problems/critical-connections-in-a-network/","critical-connections-in-a-network")</f>
        <v/>
      </c>
      <c r="D1267" t="inlineStr">
        <is>
          <t>-</t>
        </is>
      </c>
      <c r="E1267" t="inlineStr">
        <is>
          <t>Medium</t>
        </is>
      </c>
      <c r="F1267" t="n">
        <v>22</v>
      </c>
      <c r="G1267" t="inlineStr">
        <is>
          <t>Graphs</t>
        </is>
      </c>
      <c r="H1267" t="inlineStr">
        <is>
          <t>Additional Graph Algorithm</t>
        </is>
      </c>
      <c r="I1267" t="inlineStr">
        <is>
          <t>Leetcode</t>
        </is>
      </c>
      <c r="J1267" t="inlineStr">
        <is>
          <t>Problem</t>
        </is>
      </c>
    </row>
    <row r="1268">
      <c r="A1268" t="n">
        <v>100</v>
      </c>
      <c r="B1268" t="inlineStr">
        <is>
          <t>Check if it is a Straight Line</t>
        </is>
      </c>
      <c r="C1268">
        <f>HYPERLINK("https://leetcode.com/problems/check-if-it-is-a-straight-line/","check-if-it-is-a-straight-line")</f>
        <v/>
      </c>
      <c r="D1268" t="inlineStr">
        <is>
          <t>-</t>
        </is>
      </c>
      <c r="E1268" t="inlineStr">
        <is>
          <t>Easy</t>
        </is>
      </c>
      <c r="F1268" t="n">
        <v>23</v>
      </c>
      <c r="G1268" t="inlineStr">
        <is>
          <t>Combinatorics &amp; Geometry</t>
        </is>
      </c>
      <c r="H1268" t="inlineStr">
        <is>
          <t>Line</t>
        </is>
      </c>
      <c r="I1268" t="inlineStr">
        <is>
          <t>Leetcode</t>
        </is>
      </c>
      <c r="J1268" t="inlineStr">
        <is>
          <t>Problem</t>
        </is>
      </c>
    </row>
    <row r="1269">
      <c r="A1269" t="n">
        <v>522</v>
      </c>
      <c r="B1269" t="inlineStr">
        <is>
          <t>Minimum Lines to Represent a Line Chart</t>
        </is>
      </c>
      <c r="C1269">
        <f>HYPERLINK("https://leetcode.com/problems/minimum-lines-to-represent-a-line-chart/description/","minimum-lines-to-represent-a-line-chart")</f>
        <v/>
      </c>
      <c r="D1269" t="inlineStr">
        <is>
          <t>-</t>
        </is>
      </c>
      <c r="E1269" t="inlineStr">
        <is>
          <t>Medium</t>
        </is>
      </c>
      <c r="F1269" t="n">
        <v>23</v>
      </c>
      <c r="G1269" t="inlineStr">
        <is>
          <t>Combinatorics &amp; Geometry</t>
        </is>
      </c>
      <c r="H1269" t="inlineStr">
        <is>
          <t>Line</t>
        </is>
      </c>
      <c r="I1269" t="inlineStr">
        <is>
          <t>Leetcode</t>
        </is>
      </c>
      <c r="J1269" t="inlineStr">
        <is>
          <t>Problem</t>
        </is>
      </c>
    </row>
    <row r="1270">
      <c r="A1270" t="n">
        <v>475</v>
      </c>
      <c r="B1270" t="inlineStr">
        <is>
          <t>K Closest Points to Origin</t>
        </is>
      </c>
      <c r="C1270">
        <f>HYPERLINK("https://leetcode.com/problems/k-closest-points-to-origin/description/","k-closest-points-to-origin")</f>
        <v/>
      </c>
      <c r="D1270" t="inlineStr">
        <is>
          <t>-</t>
        </is>
      </c>
      <c r="E1270" t="inlineStr">
        <is>
          <t>Medium</t>
        </is>
      </c>
      <c r="F1270" t="n">
        <v>23</v>
      </c>
      <c r="G1270" t="inlineStr">
        <is>
          <t>Combinatorics &amp; Geometry</t>
        </is>
      </c>
      <c r="H1270" t="inlineStr">
        <is>
          <t>Line</t>
        </is>
      </c>
      <c r="I1270" t="inlineStr">
        <is>
          <t>Leetcode</t>
        </is>
      </c>
      <c r="J1270" t="inlineStr">
        <is>
          <t>Problem</t>
        </is>
      </c>
    </row>
    <row r="1271">
      <c r="A1271" t="n">
        <v>1462</v>
      </c>
      <c r="B1271" t="inlineStr">
        <is>
          <t>Check If Two Line Segments Intersect</t>
        </is>
      </c>
      <c r="C1271">
        <f>HYPERLINK("https://www.geeksforgeeks.org/problems/check-if-two-line-segments-intersect0017/1","Solve Problem")</f>
        <v/>
      </c>
      <c r="D1271" t="inlineStr">
        <is>
          <t>-</t>
        </is>
      </c>
      <c r="E1271" t="inlineStr">
        <is>
          <t>Medium</t>
        </is>
      </c>
      <c r="F1271" t="n">
        <v>23</v>
      </c>
      <c r="G1271" t="inlineStr">
        <is>
          <t>Combinatorics &amp; Geometry</t>
        </is>
      </c>
      <c r="H1271" t="inlineStr">
        <is>
          <t>Line</t>
        </is>
      </c>
      <c r="I1271" t="inlineStr">
        <is>
          <t>Geeksforgeeks</t>
        </is>
      </c>
      <c r="J1271" t="inlineStr">
        <is>
          <t>Problem</t>
        </is>
      </c>
    </row>
    <row r="1272">
      <c r="A1272" t="n">
        <v>484</v>
      </c>
      <c r="B1272" t="inlineStr">
        <is>
          <t>Max Points on a Line</t>
        </is>
      </c>
      <c r="C1272">
        <f>HYPERLINK("https://leetcode.com/problems/max-points-on-a-line/description/","max-points-on-a-line")</f>
        <v/>
      </c>
      <c r="D1272" t="inlineStr">
        <is>
          <t>-</t>
        </is>
      </c>
      <c r="E1272" t="inlineStr">
        <is>
          <t>Hard</t>
        </is>
      </c>
      <c r="F1272" t="n">
        <v>23</v>
      </c>
      <c r="G1272" t="inlineStr">
        <is>
          <t>Combinatorics &amp; Geometry</t>
        </is>
      </c>
      <c r="H1272" t="inlineStr">
        <is>
          <t>Line</t>
        </is>
      </c>
      <c r="I1272" t="inlineStr">
        <is>
          <t>Leetcode</t>
        </is>
      </c>
      <c r="J1272" t="inlineStr">
        <is>
          <t>Problem</t>
        </is>
      </c>
    </row>
    <row r="1273">
      <c r="A1273" t="n">
        <v>514</v>
      </c>
      <c r="B1273" t="inlineStr">
        <is>
          <t>Minimize Manhattan Distances</t>
        </is>
      </c>
      <c r="C1273">
        <f>HYPERLINK("https://leetcode.com/problems/minimize-manhattan-distances/description/","minimize-manhattan-distances")</f>
        <v/>
      </c>
      <c r="D1273" t="inlineStr">
        <is>
          <t>-</t>
        </is>
      </c>
      <c r="E1273" t="inlineStr">
        <is>
          <t>Hard</t>
        </is>
      </c>
      <c r="F1273" t="n">
        <v>23</v>
      </c>
      <c r="G1273" t="inlineStr">
        <is>
          <t>Combinatorics &amp; Geometry</t>
        </is>
      </c>
      <c r="H1273" t="inlineStr">
        <is>
          <t>Line</t>
        </is>
      </c>
      <c r="I1273" t="inlineStr">
        <is>
          <t>Leetcode</t>
        </is>
      </c>
      <c r="J1273" t="inlineStr">
        <is>
          <t>Problem</t>
        </is>
      </c>
    </row>
    <row r="1274">
      <c r="A1274" t="n">
        <v>675</v>
      </c>
      <c r="B1274" t="inlineStr">
        <is>
          <t>Self Crossing</t>
        </is>
      </c>
      <c r="C1274">
        <f>HYPERLINK("https://leetcode.com/problems/self-crossing/description/","self-crossing")</f>
        <v/>
      </c>
      <c r="D1274" t="inlineStr">
        <is>
          <t>-</t>
        </is>
      </c>
      <c r="E1274" t="inlineStr">
        <is>
          <t>Hard</t>
        </is>
      </c>
      <c r="F1274" t="n">
        <v>23</v>
      </c>
      <c r="G1274" t="inlineStr">
        <is>
          <t>Combinatorics &amp; Geometry</t>
        </is>
      </c>
      <c r="H1274" t="inlineStr">
        <is>
          <t>Line</t>
        </is>
      </c>
      <c r="I1274" t="inlineStr">
        <is>
          <t>Leetcode</t>
        </is>
      </c>
      <c r="J1274" t="inlineStr">
        <is>
          <t>Problem</t>
        </is>
      </c>
    </row>
    <row r="1275">
      <c r="A1275" t="n">
        <v>627</v>
      </c>
      <c r="B1275" t="inlineStr">
        <is>
          <t>Rectangle Overlap</t>
        </is>
      </c>
      <c r="C1275">
        <f>HYPERLINK("https://leetcode.com/problems/rectangle-overlap/","rectangle-overlap")</f>
        <v/>
      </c>
      <c r="D1275" t="inlineStr">
        <is>
          <t>-</t>
        </is>
      </c>
      <c r="E1275" t="inlineStr">
        <is>
          <t>Easy</t>
        </is>
      </c>
      <c r="F1275" t="n">
        <v>23</v>
      </c>
      <c r="G1275" t="inlineStr">
        <is>
          <t>Combinatorics &amp; Geometry</t>
        </is>
      </c>
      <c r="H1275" t="inlineStr">
        <is>
          <t>Rectangle</t>
        </is>
      </c>
      <c r="I1275" t="inlineStr">
        <is>
          <t>Leetcode</t>
        </is>
      </c>
      <c r="J1275" t="inlineStr">
        <is>
          <t>Problem</t>
        </is>
      </c>
    </row>
    <row r="1276">
      <c r="A1276" t="n">
        <v>241</v>
      </c>
      <c r="B1276" t="inlineStr">
        <is>
          <t>Largest Triangle Area</t>
        </is>
      </c>
      <c r="C1276">
        <f>HYPERLINK("https://leetcode.com/problems/largest-triangle-area/description/","largest-triangle-area")</f>
        <v/>
      </c>
      <c r="D1276" t="inlineStr">
        <is>
          <t>-</t>
        </is>
      </c>
      <c r="E1276" t="inlineStr">
        <is>
          <t>Easy</t>
        </is>
      </c>
      <c r="F1276" t="n">
        <v>23</v>
      </c>
      <c r="G1276" t="inlineStr">
        <is>
          <t>Combinatorics &amp; Geometry</t>
        </is>
      </c>
      <c r="H1276" t="inlineStr">
        <is>
          <t>Rectangle</t>
        </is>
      </c>
      <c r="I1276" t="inlineStr">
        <is>
          <t>Leetcode</t>
        </is>
      </c>
      <c r="J1276" t="inlineStr">
        <is>
          <t>Problem</t>
        </is>
      </c>
    </row>
    <row r="1277">
      <c r="A1277" t="n">
        <v>798</v>
      </c>
      <c r="B1277" t="inlineStr">
        <is>
          <t>Minimum Rectangles to Cover Points</t>
        </is>
      </c>
      <c r="C1277">
        <f>HYPERLINK("https://leetcode.com/problems/minimum-rectangles-to-cover-points/description/","minimum-rectangles-to-cover-points")</f>
        <v/>
      </c>
      <c r="D1277" t="inlineStr">
        <is>
          <t>-</t>
        </is>
      </c>
      <c r="E1277" t="inlineStr">
        <is>
          <t>Medium</t>
        </is>
      </c>
      <c r="F1277" t="n">
        <v>23</v>
      </c>
      <c r="G1277" t="inlineStr">
        <is>
          <t>Combinatorics &amp; Geometry</t>
        </is>
      </c>
      <c r="H1277" t="inlineStr">
        <is>
          <t>Rectangle</t>
        </is>
      </c>
      <c r="I1277" t="inlineStr">
        <is>
          <t>Leetcode</t>
        </is>
      </c>
      <c r="J1277" t="inlineStr">
        <is>
          <t>Problem</t>
        </is>
      </c>
    </row>
    <row r="1278">
      <c r="A1278" t="n">
        <v>625</v>
      </c>
      <c r="B1278" t="inlineStr">
        <is>
          <t>Rectangle Area</t>
        </is>
      </c>
      <c r="C1278">
        <f>HYPERLINK("https://leetcode.com/problems/rectangle-area/description/","rectangle-area")</f>
        <v/>
      </c>
      <c r="D1278" t="inlineStr">
        <is>
          <t>-</t>
        </is>
      </c>
      <c r="E1278" t="inlineStr">
        <is>
          <t>Medium</t>
        </is>
      </c>
      <c r="F1278" t="n">
        <v>23</v>
      </c>
      <c r="G1278" t="inlineStr">
        <is>
          <t>Combinatorics &amp; Geometry</t>
        </is>
      </c>
      <c r="H1278" t="inlineStr">
        <is>
          <t>Rectangle</t>
        </is>
      </c>
      <c r="I1278" t="inlineStr">
        <is>
          <t>Leetcode</t>
        </is>
      </c>
      <c r="J1278" t="inlineStr">
        <is>
          <t>Problem</t>
        </is>
      </c>
    </row>
    <row r="1279">
      <c r="A1279" t="n">
        <v>517</v>
      </c>
      <c r="B1279" t="inlineStr">
        <is>
          <t>Minimum Area Rectangle</t>
        </is>
      </c>
      <c r="C1279">
        <f>HYPERLINK("https://leetcode.com/problems/minimum-area-rectangle/description/","minimum-area-rectangle")</f>
        <v/>
      </c>
      <c r="D1279" t="inlineStr">
        <is>
          <t>-</t>
        </is>
      </c>
      <c r="E1279" t="inlineStr">
        <is>
          <t>Medium</t>
        </is>
      </c>
      <c r="F1279" t="n">
        <v>23</v>
      </c>
      <c r="G1279" t="inlineStr">
        <is>
          <t>Combinatorics &amp; Geometry</t>
        </is>
      </c>
      <c r="H1279" t="inlineStr">
        <is>
          <t>Rectangle</t>
        </is>
      </c>
      <c r="I1279" t="inlineStr">
        <is>
          <t>Leetcode</t>
        </is>
      </c>
      <c r="J1279" t="inlineStr">
        <is>
          <t>Problem</t>
        </is>
      </c>
    </row>
    <row r="1280">
      <c r="A1280" t="n">
        <v>371</v>
      </c>
      <c r="B1280" t="inlineStr">
        <is>
          <t>Minimum Area Rectangle II</t>
        </is>
      </c>
      <c r="C1280">
        <f>HYPERLINK("https://leetcode.com/problems/minimum-area-rectangle-ii/description/","minimum-area-rectangle-ii")</f>
        <v/>
      </c>
      <c r="D1280" t="inlineStr">
        <is>
          <t>-</t>
        </is>
      </c>
      <c r="E1280" t="inlineStr">
        <is>
          <t>Medium</t>
        </is>
      </c>
      <c r="F1280" t="n">
        <v>23</v>
      </c>
      <c r="G1280" t="inlineStr">
        <is>
          <t>Combinatorics &amp; Geometry</t>
        </is>
      </c>
      <c r="H1280" t="inlineStr">
        <is>
          <t>Rectangle</t>
        </is>
      </c>
      <c r="I1280" t="inlineStr">
        <is>
          <t>Leetcode</t>
        </is>
      </c>
      <c r="J1280" t="inlineStr">
        <is>
          <t>Problem</t>
        </is>
      </c>
    </row>
    <row r="1281">
      <c r="A1281" t="n">
        <v>799</v>
      </c>
      <c r="B1281" t="inlineStr">
        <is>
          <t>Mirror Reflection</t>
        </is>
      </c>
      <c r="C1281">
        <f>HYPERLINK("https://leetcode.com/problems/mirror-reflection/description/","mirror-reflection")</f>
        <v/>
      </c>
      <c r="D1281" t="inlineStr">
        <is>
          <t>-</t>
        </is>
      </c>
      <c r="E1281" t="inlineStr">
        <is>
          <t>Medium</t>
        </is>
      </c>
      <c r="F1281" t="n">
        <v>23</v>
      </c>
      <c r="G1281" t="inlineStr">
        <is>
          <t>Combinatorics &amp; Geometry</t>
        </is>
      </c>
      <c r="H1281" t="inlineStr">
        <is>
          <t>Rectangle</t>
        </is>
      </c>
      <c r="I1281" t="inlineStr">
        <is>
          <t>Leetcode</t>
        </is>
      </c>
      <c r="J1281" t="inlineStr">
        <is>
          <t>Problem</t>
        </is>
      </c>
    </row>
    <row r="1282">
      <c r="A1282" t="n">
        <v>467</v>
      </c>
      <c r="B1282" t="inlineStr">
        <is>
          <t>Find the Largest Area of Square Inside Two Rectangles</t>
        </is>
      </c>
      <c r="C1282">
        <f>HYPERLINK("https://leetcode.com/problems/find-the-largest-area-of-square-inside-two-rectangles/description/","find-the-largest-area-of-square-inside-two-rectangles")</f>
        <v/>
      </c>
      <c r="D1282" t="inlineStr">
        <is>
          <t>-</t>
        </is>
      </c>
      <c r="E1282" t="inlineStr">
        <is>
          <t>Medium</t>
        </is>
      </c>
      <c r="F1282" t="n">
        <v>23</v>
      </c>
      <c r="G1282" t="inlineStr">
        <is>
          <t>Combinatorics &amp; Geometry</t>
        </is>
      </c>
      <c r="H1282" t="inlineStr">
        <is>
          <t>Rectangle</t>
        </is>
      </c>
      <c r="I1282" t="inlineStr">
        <is>
          <t>Leetcode</t>
        </is>
      </c>
      <c r="J1282" t="inlineStr">
        <is>
          <t>Problem</t>
        </is>
      </c>
    </row>
    <row r="1283">
      <c r="A1283" t="n">
        <v>384</v>
      </c>
      <c r="B1283" t="inlineStr">
        <is>
          <t>Minimum Cuts to Divide a Circle</t>
        </is>
      </c>
      <c r="C1283">
        <f>HYPERLINK("https://leetcode.com/problems/minimum-cuts-to-divide-a-circle/description/","minimum-cuts-to-divide-a-circle")</f>
        <v/>
      </c>
      <c r="D1283" t="inlineStr">
        <is>
          <t>-</t>
        </is>
      </c>
      <c r="E1283" t="inlineStr">
        <is>
          <t>Medium</t>
        </is>
      </c>
      <c r="F1283" t="n">
        <v>23</v>
      </c>
      <c r="G1283" t="inlineStr">
        <is>
          <t>Combinatorics &amp; Geometry</t>
        </is>
      </c>
      <c r="H1283" t="inlineStr">
        <is>
          <t>Circle</t>
        </is>
      </c>
      <c r="I1283" t="inlineStr">
        <is>
          <t>Leetcode</t>
        </is>
      </c>
      <c r="J1283" t="inlineStr">
        <is>
          <t>Problem</t>
        </is>
      </c>
    </row>
    <row r="1284">
      <c r="A1284" t="n">
        <v>503</v>
      </c>
      <c r="B1284" t="inlineStr">
        <is>
          <t>Generate Random Point in a Circle</t>
        </is>
      </c>
      <c r="C1284">
        <f>HYPERLINK("https://leetcode.com/problems/generate-random-point-in-a-circle/description/","generate-random-point-in-a-circle")</f>
        <v/>
      </c>
      <c r="D1284" t="inlineStr">
        <is>
          <t>-</t>
        </is>
      </c>
      <c r="E1284" t="inlineStr">
        <is>
          <t>Medium</t>
        </is>
      </c>
      <c r="F1284" t="n">
        <v>23</v>
      </c>
      <c r="G1284" t="inlineStr">
        <is>
          <t>Combinatorics &amp; Geometry</t>
        </is>
      </c>
      <c r="H1284" t="inlineStr">
        <is>
          <t>Circle</t>
        </is>
      </c>
      <c r="I1284" t="inlineStr">
        <is>
          <t>Leetcode</t>
        </is>
      </c>
      <c r="J1284" t="inlineStr">
        <is>
          <t>Problem</t>
        </is>
      </c>
    </row>
    <row r="1285">
      <c r="A1285" t="n">
        <v>79</v>
      </c>
      <c r="B1285" t="inlineStr">
        <is>
          <t>Circle and Rectangle Overlapping</t>
        </is>
      </c>
      <c r="C1285">
        <f>HYPERLINK("https://leetcode.com/problems/circle-and-rectangle-overlapping/description/","circle-and-rectangle-overlapping")</f>
        <v/>
      </c>
      <c r="D1285" t="inlineStr">
        <is>
          <t>-</t>
        </is>
      </c>
      <c r="E1285" t="inlineStr">
        <is>
          <t>Medium</t>
        </is>
      </c>
      <c r="F1285" t="n">
        <v>23</v>
      </c>
      <c r="G1285" t="inlineStr">
        <is>
          <t>Combinatorics &amp; Geometry</t>
        </is>
      </c>
      <c r="H1285" t="inlineStr">
        <is>
          <t>Circle</t>
        </is>
      </c>
      <c r="I1285" t="inlineStr">
        <is>
          <t>Leetcode</t>
        </is>
      </c>
      <c r="J1285" t="inlineStr">
        <is>
          <t>Problem</t>
        </is>
      </c>
    </row>
    <row r="1286">
      <c r="A1286" t="n">
        <v>445</v>
      </c>
      <c r="B1286" t="inlineStr">
        <is>
          <t>Count Lattice Points Inside a Circle</t>
        </is>
      </c>
      <c r="C1286">
        <f>HYPERLINK("https://leetcode.com/problems/count-lattice-points-inside-a-circle/","count-lattice-points-inside-a-circle")</f>
        <v/>
      </c>
      <c r="D1286" t="inlineStr">
        <is>
          <t>-</t>
        </is>
      </c>
      <c r="E1286" t="inlineStr">
        <is>
          <t>Medium</t>
        </is>
      </c>
      <c r="F1286" t="n">
        <v>23</v>
      </c>
      <c r="G1286" t="inlineStr">
        <is>
          <t>Combinatorics &amp; Geometry</t>
        </is>
      </c>
      <c r="H1286" t="inlineStr">
        <is>
          <t>Circle</t>
        </is>
      </c>
      <c r="I1286" t="inlineStr">
        <is>
          <t>Leetcode</t>
        </is>
      </c>
      <c r="J1286" t="inlineStr">
        <is>
          <t>Problem</t>
        </is>
      </c>
    </row>
    <row r="1287">
      <c r="A1287" t="n">
        <v>614</v>
      </c>
      <c r="B1287" t="inlineStr">
        <is>
          <t>Queries on Number of Points Inside a Circle</t>
        </is>
      </c>
      <c r="C1287">
        <f>HYPERLINK("https://leetcode.com/problems/queries-on-number-of-points-inside-a-circle/","queries-on-number-of-points-inside-a-circle")</f>
        <v/>
      </c>
      <c r="D1287" t="inlineStr">
        <is>
          <t>-</t>
        </is>
      </c>
      <c r="E1287" t="inlineStr">
        <is>
          <t>Medium</t>
        </is>
      </c>
      <c r="F1287" t="n">
        <v>23</v>
      </c>
      <c r="G1287" t="inlineStr">
        <is>
          <t>Combinatorics &amp; Geometry</t>
        </is>
      </c>
      <c r="H1287" t="inlineStr">
        <is>
          <t>Circle</t>
        </is>
      </c>
      <c r="I1287" t="inlineStr">
        <is>
          <t>Leetcode</t>
        </is>
      </c>
      <c r="J1287" t="inlineStr">
        <is>
          <t>Problem</t>
        </is>
      </c>
    </row>
    <row r="1288">
      <c r="A1288" t="n">
        <v>491</v>
      </c>
      <c r="B1288" t="inlineStr">
        <is>
          <t>Maximum Number of Darts Inside of a Circular Dartboard</t>
        </is>
      </c>
      <c r="C1288">
        <f>HYPERLINK("https://leetcode.com/problems/maximum-number-of-darts-inside-of-a-circular-dartboard/","maximum-number-of-darts-inside-of-a-circular-dartboard")</f>
        <v/>
      </c>
      <c r="D1288" t="inlineStr">
        <is>
          <t>-</t>
        </is>
      </c>
      <c r="E1288" t="inlineStr">
        <is>
          <t>Hard</t>
        </is>
      </c>
      <c r="F1288" t="n">
        <v>23</v>
      </c>
      <c r="G1288" t="inlineStr">
        <is>
          <t>Combinatorics &amp; Geometry</t>
        </is>
      </c>
      <c r="H1288" t="inlineStr">
        <is>
          <t>Circle</t>
        </is>
      </c>
      <c r="I1288" t="inlineStr">
        <is>
          <t>Leetcode</t>
        </is>
      </c>
      <c r="J1288" t="inlineStr">
        <is>
          <t>Problem</t>
        </is>
      </c>
    </row>
    <row r="1289">
      <c r="A1289" t="n">
        <v>1498</v>
      </c>
      <c r="B1289" t="inlineStr">
        <is>
          <t>Factorial of Large Numbers</t>
        </is>
      </c>
      <c r="C1289">
        <f>HYPERLINK("https://www.geeksforgeeks.org/problems/ncr-mod-m-part-20611/1","Solve Problem")</f>
        <v/>
      </c>
      <c r="D1289" t="inlineStr">
        <is>
          <t>-</t>
        </is>
      </c>
      <c r="E1289" t="inlineStr">
        <is>
          <t>Medium</t>
        </is>
      </c>
      <c r="F1289" t="n">
        <v>23</v>
      </c>
      <c r="G1289" t="inlineStr">
        <is>
          <t>Combinatorics &amp; Geometry</t>
        </is>
      </c>
      <c r="H1289" t="inlineStr">
        <is>
          <t>Combinatorics</t>
        </is>
      </c>
      <c r="I1289" t="inlineStr">
        <is>
          <t>Geeksforgeeks</t>
        </is>
      </c>
      <c r="J1289" t="inlineStr">
        <is>
          <t>Problem</t>
        </is>
      </c>
    </row>
    <row r="1290">
      <c r="A1290" t="n">
        <v>1498</v>
      </c>
      <c r="B1290" t="inlineStr">
        <is>
          <t>nCr Mod m</t>
        </is>
      </c>
      <c r="C1290">
        <f>HYPERLINK("https://www.geeksforgeeks.org/problems/ncr-mod-m-part-20611/1?page=1&amp;category=Combinatorial&amp;sortBy=submissions","Solve Problem")</f>
        <v/>
      </c>
      <c r="D1290" t="inlineStr">
        <is>
          <t>-</t>
        </is>
      </c>
      <c r="E1290" t="inlineStr">
        <is>
          <t>Medium</t>
        </is>
      </c>
      <c r="F1290" t="n">
        <v>23</v>
      </c>
      <c r="G1290" t="inlineStr">
        <is>
          <t>Combinatorics &amp; Geometry</t>
        </is>
      </c>
      <c r="H1290" t="inlineStr">
        <is>
          <t>Combinatorics</t>
        </is>
      </c>
      <c r="I1290" t="inlineStr">
        <is>
          <t>Geeksforgeeks</t>
        </is>
      </c>
      <c r="J1290" t="inlineStr">
        <is>
          <t>Problem</t>
        </is>
      </c>
    </row>
    <row r="1291">
      <c r="A1291" t="n">
        <v>1391</v>
      </c>
      <c r="B1291" t="inlineStr">
        <is>
          <t>Tiles</t>
        </is>
      </c>
      <c r="C1291">
        <f>HYPERLINK("https://codeforces.com/contest/1178/problem/C","Solve Problem")</f>
        <v/>
      </c>
      <c r="D1291" t="inlineStr">
        <is>
          <t>-</t>
        </is>
      </c>
      <c r="E1291" t="inlineStr">
        <is>
          <t>Medium</t>
        </is>
      </c>
      <c r="F1291" t="n">
        <v>23</v>
      </c>
      <c r="G1291" t="inlineStr">
        <is>
          <t>Combinatorics &amp; Geometry</t>
        </is>
      </c>
      <c r="H1291" t="inlineStr">
        <is>
          <t>Combinatorics</t>
        </is>
      </c>
      <c r="I1291" t="inlineStr">
        <is>
          <t>Codeforces</t>
        </is>
      </c>
      <c r="J1291" t="inlineStr">
        <is>
          <t>Problem</t>
        </is>
      </c>
    </row>
    <row r="1292">
      <c r="A1292" t="n">
        <v>146</v>
      </c>
      <c r="B1292" t="inlineStr">
        <is>
          <t>Distribute Candies Among Children II</t>
        </is>
      </c>
      <c r="C1292">
        <f>HYPERLINK("https://leetcode.com/problems/distribute-candies-among-children-ii/","distribute-candies-among-children-ii")</f>
        <v/>
      </c>
      <c r="D1292" t="inlineStr">
        <is>
          <t>-</t>
        </is>
      </c>
      <c r="E1292" t="inlineStr">
        <is>
          <t>Medium</t>
        </is>
      </c>
      <c r="F1292" t="n">
        <v>23</v>
      </c>
      <c r="G1292" t="inlineStr">
        <is>
          <t>Combinatorics &amp; Geometry</t>
        </is>
      </c>
      <c r="H1292" t="inlineStr">
        <is>
          <t>Combinatorics</t>
        </is>
      </c>
      <c r="I1292" t="inlineStr">
        <is>
          <t>Leetcode</t>
        </is>
      </c>
      <c r="J1292" t="inlineStr">
        <is>
          <t>Problem</t>
        </is>
      </c>
    </row>
    <row r="1293">
      <c r="A1293" t="n">
        <v>760</v>
      </c>
      <c r="B1293" t="inlineStr">
        <is>
          <t>Unique Paths</t>
        </is>
      </c>
      <c r="C1293">
        <f>HYPERLINK("https://leetcode.com/problems/unique-paths/","unique-paths")</f>
        <v/>
      </c>
      <c r="D1293" t="inlineStr">
        <is>
          <t>-</t>
        </is>
      </c>
      <c r="E1293" t="inlineStr">
        <is>
          <t>Medium</t>
        </is>
      </c>
      <c r="F1293" t="n">
        <v>23</v>
      </c>
      <c r="G1293" t="inlineStr">
        <is>
          <t>Combinatorics &amp; Geometry</t>
        </is>
      </c>
      <c r="H1293" t="inlineStr">
        <is>
          <t>Combinatorics</t>
        </is>
      </c>
      <c r="I1293" t="inlineStr">
        <is>
          <t>Leetcode</t>
        </is>
      </c>
      <c r="J1293" t="inlineStr">
        <is>
          <t>Problem</t>
        </is>
      </c>
    </row>
    <row r="1294">
      <c r="A1294" t="n">
        <v>1408</v>
      </c>
      <c r="B1294" t="inlineStr">
        <is>
          <t>Right Triangles</t>
        </is>
      </c>
      <c r="C1294">
        <f>HYPERLINK("https://codeforces.com/contest/52/problem/B","Solve Problem")</f>
        <v/>
      </c>
      <c r="D1294" t="inlineStr">
        <is>
          <t>-</t>
        </is>
      </c>
      <c r="E1294" t="inlineStr">
        <is>
          <t>Medium</t>
        </is>
      </c>
      <c r="F1294" t="n">
        <v>23</v>
      </c>
      <c r="G1294" t="inlineStr">
        <is>
          <t>Combinatorics &amp; Geometry</t>
        </is>
      </c>
      <c r="H1294" t="inlineStr">
        <is>
          <t>Combinatorics</t>
        </is>
      </c>
      <c r="I1294" t="inlineStr">
        <is>
          <t>Codeforces</t>
        </is>
      </c>
      <c r="J1294" t="inlineStr">
        <is>
          <t>Problem</t>
        </is>
      </c>
    </row>
    <row r="1295">
      <c r="A1295" t="n">
        <v>598</v>
      </c>
      <c r="B1295" t="inlineStr">
        <is>
          <t>Permutation Sequence</t>
        </is>
      </c>
      <c r="C1295">
        <f>HYPERLINK("https://leetcode.com/problems/permutation-sequence","permutation-sequence")</f>
        <v/>
      </c>
      <c r="D1295" t="inlineStr">
        <is>
          <t>-</t>
        </is>
      </c>
      <c r="E1295" t="inlineStr">
        <is>
          <t>Hard</t>
        </is>
      </c>
      <c r="F1295" t="n">
        <v>23</v>
      </c>
      <c r="G1295" t="inlineStr">
        <is>
          <t>Combinatorics &amp; Geometry</t>
        </is>
      </c>
      <c r="H1295" t="inlineStr">
        <is>
          <t>Combinatorics</t>
        </is>
      </c>
      <c r="I1295" t="inlineStr">
        <is>
          <t>Leetcode</t>
        </is>
      </c>
      <c r="J1295" t="inlineStr">
        <is>
          <t>Problem</t>
        </is>
      </c>
    </row>
    <row r="1296">
      <c r="A1296" t="n">
        <v>102</v>
      </c>
      <c r="B1296" t="inlineStr">
        <is>
          <t>Count Anagrams</t>
        </is>
      </c>
      <c r="C1296">
        <f>HYPERLINK("https://leetcode.com/problems/count-anagrams/","count-anagrams")</f>
        <v/>
      </c>
      <c r="D1296" t="inlineStr">
        <is>
          <t>-</t>
        </is>
      </c>
      <c r="E1296" t="inlineStr">
        <is>
          <t>Hard</t>
        </is>
      </c>
      <c r="F1296" t="n">
        <v>23</v>
      </c>
      <c r="G1296" t="inlineStr">
        <is>
          <t>Combinatorics &amp; Geometry</t>
        </is>
      </c>
      <c r="H1296" t="inlineStr">
        <is>
          <t>Combinatorics</t>
        </is>
      </c>
      <c r="I1296" t="inlineStr">
        <is>
          <t>Leetcode</t>
        </is>
      </c>
      <c r="J1296" t="inlineStr">
        <is>
          <t>Problem</t>
        </is>
      </c>
    </row>
    <row r="1297">
      <c r="A1297" t="n">
        <v>800</v>
      </c>
      <c r="B1297" t="inlineStr">
        <is>
          <t>Number of Ways to Reorder Array to Get Same BST</t>
        </is>
      </c>
      <c r="C1297">
        <f>HYPERLINK("https://leetcode.com/problems/number-of-ways-to-reorder-array-to-get-same-bst","number-of-ways-to-reorder-array-to-get-same-bst")</f>
        <v/>
      </c>
      <c r="D1297" t="inlineStr">
        <is>
          <t>-</t>
        </is>
      </c>
      <c r="E1297" t="inlineStr">
        <is>
          <t>Hard</t>
        </is>
      </c>
      <c r="F1297" t="n">
        <v>23</v>
      </c>
      <c r="G1297" t="inlineStr">
        <is>
          <t>Combinatorics &amp; Geometry</t>
        </is>
      </c>
      <c r="H1297" t="inlineStr">
        <is>
          <t>Combinatorics</t>
        </is>
      </c>
      <c r="I1297" t="inlineStr">
        <is>
          <t>Leetcode</t>
        </is>
      </c>
      <c r="J1297" t="inlineStr">
        <is>
          <t>Problem</t>
        </is>
      </c>
    </row>
    <row r="1298">
      <c r="A1298" t="n">
        <v>437</v>
      </c>
      <c r="B1298" t="inlineStr">
        <is>
          <t>Count the Number of Ideal Arrays</t>
        </is>
      </c>
      <c r="C1298">
        <f>HYPERLINK("https://leetcode.com/problems/count-the-number-of-ideal-arrays/","count-the-number-of-ideal-arrays")</f>
        <v/>
      </c>
      <c r="D1298" t="inlineStr">
        <is>
          <t>-</t>
        </is>
      </c>
      <c r="E1298" t="inlineStr">
        <is>
          <t>Hard</t>
        </is>
      </c>
      <c r="F1298" t="n">
        <v>23</v>
      </c>
      <c r="G1298" t="inlineStr">
        <is>
          <t>Combinatorics &amp; Geometry</t>
        </is>
      </c>
      <c r="H1298" t="inlineStr">
        <is>
          <t>Combinatorics</t>
        </is>
      </c>
      <c r="I1298" t="inlineStr">
        <is>
          <t>Leetcode</t>
        </is>
      </c>
      <c r="J1298" t="inlineStr">
        <is>
          <t>Problem</t>
        </is>
      </c>
    </row>
    <row r="1299">
      <c r="A1299" t="n">
        <v>101</v>
      </c>
      <c r="B1299" t="inlineStr">
        <is>
          <t>Count All Valid Pickup and Delivery Options</t>
        </is>
      </c>
      <c r="C1299">
        <f>HYPERLINK("https://leetcode.com/problems/count-all-valid-pickup-and-delivery-options/","count-all-valid-pickup-and-delivery-options")</f>
        <v/>
      </c>
      <c r="D1299" t="inlineStr">
        <is>
          <t>-</t>
        </is>
      </c>
      <c r="E1299" t="inlineStr">
        <is>
          <t>Hard</t>
        </is>
      </c>
      <c r="F1299" t="n">
        <v>23</v>
      </c>
      <c r="G1299" t="inlineStr">
        <is>
          <t>Combinatorics &amp; Geometry</t>
        </is>
      </c>
      <c r="H1299" t="inlineStr">
        <is>
          <t>Combinatorics</t>
        </is>
      </c>
      <c r="I1299" t="inlineStr">
        <is>
          <t>Leetcode</t>
        </is>
      </c>
      <c r="J1299" t="inlineStr">
        <is>
          <t>Problem</t>
        </is>
      </c>
    </row>
    <row r="1300">
      <c r="A1300" t="n">
        <v>122</v>
      </c>
      <c r="B1300" t="inlineStr">
        <is>
          <t>Bitwise OR of All Subsequence Sums</t>
        </is>
      </c>
      <c r="C1300">
        <f>HYPERLINK("https://leetcode.com/problems/count-the-number-of-infection-sequences/description/","count-the-number-of-infection-sequences")</f>
        <v/>
      </c>
      <c r="D1300" t="inlineStr">
        <is>
          <t>-</t>
        </is>
      </c>
      <c r="E1300" t="inlineStr">
        <is>
          <t>Hard</t>
        </is>
      </c>
      <c r="F1300" t="n">
        <v>23</v>
      </c>
      <c r="G1300" t="inlineStr">
        <is>
          <t>Combinatorics &amp; Geometry</t>
        </is>
      </c>
      <c r="H1300" t="inlineStr">
        <is>
          <t>Combinatorics</t>
        </is>
      </c>
      <c r="I1300" t="inlineStr">
        <is>
          <t>Leetcode</t>
        </is>
      </c>
      <c r="J1300" t="inlineStr">
        <is>
          <t>Problem</t>
        </is>
      </c>
    </row>
    <row r="1301">
      <c r="A1301" t="n">
        <v>1414</v>
      </c>
      <c r="B1301" t="inlineStr">
        <is>
          <t>Count the Arrays</t>
        </is>
      </c>
      <c r="C1301">
        <f>HYPERLINK("https://codeforces.com/problemset/problem/1312/D","Solve Problem")</f>
        <v/>
      </c>
      <c r="D1301" t="inlineStr">
        <is>
          <t>-</t>
        </is>
      </c>
      <c r="E1301" t="inlineStr">
        <is>
          <t>Hard</t>
        </is>
      </c>
      <c r="F1301" t="n">
        <v>23</v>
      </c>
      <c r="G1301" t="inlineStr">
        <is>
          <t>Combinatorics &amp; Geometry</t>
        </is>
      </c>
      <c r="H1301" t="inlineStr">
        <is>
          <t>Combinatorics</t>
        </is>
      </c>
      <c r="I1301" t="inlineStr">
        <is>
          <t>Codeforces</t>
        </is>
      </c>
      <c r="J1301" t="inlineStr">
        <is>
          <t>Problem</t>
        </is>
      </c>
    </row>
    <row r="1302">
      <c r="A1302" t="n">
        <v>1406</v>
      </c>
      <c r="B1302" t="inlineStr">
        <is>
          <t>Beautiful Numbers</t>
        </is>
      </c>
      <c r="C1302">
        <f>HYPERLINK("https://codeforces.com/contest/300/problem/C","Solve Problem")</f>
        <v/>
      </c>
      <c r="D1302" t="inlineStr">
        <is>
          <t>-</t>
        </is>
      </c>
      <c r="E1302" t="inlineStr">
        <is>
          <t>Hard</t>
        </is>
      </c>
      <c r="F1302" t="n">
        <v>23</v>
      </c>
      <c r="G1302" t="inlineStr">
        <is>
          <t>Combinatorics &amp; Geometry</t>
        </is>
      </c>
      <c r="H1302" t="inlineStr">
        <is>
          <t>Combinatorics</t>
        </is>
      </c>
      <c r="I1302" t="inlineStr">
        <is>
          <t>Codeforces</t>
        </is>
      </c>
      <c r="J1302" t="inlineStr">
        <is>
          <t>Problem</t>
        </is>
      </c>
    </row>
    <row r="1303">
      <c r="A1303" t="n">
        <v>1407</v>
      </c>
      <c r="B1303" t="inlineStr">
        <is>
          <t>String Mark</t>
        </is>
      </c>
      <c r="C1303">
        <f>HYPERLINK("https://codeforces.com/contest/895/problem/D","Solve Problem")</f>
        <v/>
      </c>
      <c r="D1303" t="inlineStr">
        <is>
          <t>-</t>
        </is>
      </c>
      <c r="E1303" t="inlineStr">
        <is>
          <t>Hard</t>
        </is>
      </c>
      <c r="F1303" t="n">
        <v>23</v>
      </c>
      <c r="G1303" t="inlineStr">
        <is>
          <t>Combinatorics &amp; Geometry</t>
        </is>
      </c>
      <c r="H1303" t="inlineStr">
        <is>
          <t>Combinatorics</t>
        </is>
      </c>
      <c r="I1303" t="inlineStr">
        <is>
          <t>Codeforces</t>
        </is>
      </c>
      <c r="J1303" t="inlineStr">
        <is>
          <t>Problem</t>
        </is>
      </c>
    </row>
    <row r="1304">
      <c r="A1304" t="n">
        <v>894</v>
      </c>
      <c r="B1304" t="inlineStr">
        <is>
          <t>Divisor Game</t>
        </is>
      </c>
      <c r="C1304">
        <f>HYPERLINK("https://leetcode.com/problems/divisor-game","divisor-game")</f>
        <v/>
      </c>
      <c r="D1304" t="inlineStr">
        <is>
          <t>-</t>
        </is>
      </c>
      <c r="E1304" t="inlineStr">
        <is>
          <t>Easy</t>
        </is>
      </c>
      <c r="F1304" t="n">
        <v>24</v>
      </c>
      <c r="G1304" t="inlineStr">
        <is>
          <t>Game Theory</t>
        </is>
      </c>
      <c r="H1304" t="inlineStr">
        <is>
          <t>Level I</t>
        </is>
      </c>
      <c r="I1304" t="inlineStr">
        <is>
          <t>Leetcode</t>
        </is>
      </c>
      <c r="J1304" t="inlineStr">
        <is>
          <t>Problem</t>
        </is>
      </c>
    </row>
    <row r="1305">
      <c r="A1305" t="n">
        <v>942</v>
      </c>
      <c r="B1305" t="inlineStr">
        <is>
          <t>Nim Game</t>
        </is>
      </c>
      <c r="C1305">
        <f>HYPERLINK("https://leetcode.com/problems/nim-game","nim-game")</f>
        <v/>
      </c>
      <c r="D1305" t="inlineStr">
        <is>
          <t>-</t>
        </is>
      </c>
      <c r="E1305" t="inlineStr">
        <is>
          <t>Easy</t>
        </is>
      </c>
      <c r="F1305" t="n">
        <v>24</v>
      </c>
      <c r="G1305" t="inlineStr">
        <is>
          <t>Game Theory</t>
        </is>
      </c>
      <c r="H1305" t="inlineStr">
        <is>
          <t>Level I</t>
        </is>
      </c>
      <c r="I1305" t="inlineStr">
        <is>
          <t>Leetcode</t>
        </is>
      </c>
      <c r="J1305" t="inlineStr">
        <is>
          <t>Problem</t>
        </is>
      </c>
    </row>
    <row r="1306">
      <c r="A1306" t="n">
        <v>907</v>
      </c>
      <c r="B1306" t="inlineStr">
        <is>
          <t>Find the Winning Player in Coin Game</t>
        </is>
      </c>
      <c r="C1306">
        <f>HYPERLINK("https://leetcode.com/problems/find-the-winning-player-in-coin-game","find-the-winning-player-in-coin-game")</f>
        <v/>
      </c>
      <c r="D1306" t="inlineStr">
        <is>
          <t>-</t>
        </is>
      </c>
      <c r="E1306" t="inlineStr">
        <is>
          <t>Easy</t>
        </is>
      </c>
      <c r="F1306" t="n">
        <v>24</v>
      </c>
      <c r="G1306" t="inlineStr">
        <is>
          <t>Game Theory</t>
        </is>
      </c>
      <c r="H1306" t="inlineStr">
        <is>
          <t>Level I</t>
        </is>
      </c>
      <c r="I1306" t="inlineStr">
        <is>
          <t>Leetcode</t>
        </is>
      </c>
      <c r="J1306" t="inlineStr">
        <is>
          <t>Problem</t>
        </is>
      </c>
    </row>
    <row r="1307">
      <c r="A1307" t="n">
        <v>1418</v>
      </c>
      <c r="B1307" t="inlineStr">
        <is>
          <t>Yet Another String Game</t>
        </is>
      </c>
      <c r="C1307">
        <f>HYPERLINK("https://codeforces.com/problemset/problem/1480/A","Solve Problem")</f>
        <v/>
      </c>
      <c r="D1307" t="inlineStr">
        <is>
          <t>-</t>
        </is>
      </c>
      <c r="E1307" t="inlineStr">
        <is>
          <t>Easy</t>
        </is>
      </c>
      <c r="F1307" t="n">
        <v>24</v>
      </c>
      <c r="G1307" t="inlineStr">
        <is>
          <t>Game Theory</t>
        </is>
      </c>
      <c r="H1307" t="inlineStr">
        <is>
          <t>Level I</t>
        </is>
      </c>
      <c r="I1307" t="inlineStr">
        <is>
          <t>Codeforces</t>
        </is>
      </c>
      <c r="J1307" t="inlineStr">
        <is>
          <t>Problem</t>
        </is>
      </c>
    </row>
    <row r="1308">
      <c r="A1308" t="n">
        <v>1417</v>
      </c>
      <c r="B1308" t="inlineStr">
        <is>
          <t>Substring Removal Game</t>
        </is>
      </c>
      <c r="C1308">
        <f>HYPERLINK("https://codeforces.com/problemset/problem/1398/B","Solve Problem")</f>
        <v/>
      </c>
      <c r="D1308" t="inlineStr">
        <is>
          <t>-</t>
        </is>
      </c>
      <c r="E1308" t="inlineStr">
        <is>
          <t>Easy</t>
        </is>
      </c>
      <c r="F1308" t="n">
        <v>24</v>
      </c>
      <c r="G1308" t="inlineStr">
        <is>
          <t>Game Theory</t>
        </is>
      </c>
      <c r="H1308" t="inlineStr">
        <is>
          <t>Level I</t>
        </is>
      </c>
      <c r="I1308" t="inlineStr">
        <is>
          <t>Codeforces</t>
        </is>
      </c>
      <c r="J1308" t="inlineStr">
        <is>
          <t>Problem</t>
        </is>
      </c>
    </row>
    <row r="1309">
      <c r="A1309" t="n">
        <v>1421</v>
      </c>
      <c r="B1309" t="inlineStr">
        <is>
          <t>Sasha and Sticks</t>
        </is>
      </c>
      <c r="C1309">
        <f>HYPERLINK("https://codeforces.com/problemset/problem/832/A","Solve Problem")</f>
        <v/>
      </c>
      <c r="D1309" t="inlineStr">
        <is>
          <t>-</t>
        </is>
      </c>
      <c r="E1309" t="inlineStr">
        <is>
          <t>Easy</t>
        </is>
      </c>
      <c r="F1309" t="n">
        <v>24</v>
      </c>
      <c r="G1309" t="inlineStr">
        <is>
          <t>Game Theory</t>
        </is>
      </c>
      <c r="H1309" t="inlineStr">
        <is>
          <t>Level I</t>
        </is>
      </c>
      <c r="I1309" t="inlineStr">
        <is>
          <t>Codeforces</t>
        </is>
      </c>
      <c r="J1309" t="inlineStr">
        <is>
          <t>Problem</t>
        </is>
      </c>
    </row>
    <row r="1310">
      <c r="A1310" t="n">
        <v>1411</v>
      </c>
      <c r="B1310" t="inlineStr">
        <is>
          <t>Card Game</t>
        </is>
      </c>
      <c r="C1310">
        <f>HYPERLINK("https://codeforces.com/problemset/problem/1270/A","Solve Problem")</f>
        <v/>
      </c>
      <c r="D1310" t="inlineStr">
        <is>
          <t>-</t>
        </is>
      </c>
      <c r="E1310" t="inlineStr">
        <is>
          <t>Easy</t>
        </is>
      </c>
      <c r="F1310" t="n">
        <v>24</v>
      </c>
      <c r="G1310" t="inlineStr">
        <is>
          <t>Game Theory</t>
        </is>
      </c>
      <c r="H1310" t="inlineStr">
        <is>
          <t>Level I</t>
        </is>
      </c>
      <c r="I1310" t="inlineStr">
        <is>
          <t>Codeforces</t>
        </is>
      </c>
      <c r="J1310" t="inlineStr">
        <is>
          <t>Problem</t>
        </is>
      </c>
    </row>
    <row r="1311">
      <c r="A1311" t="n">
        <v>1413</v>
      </c>
      <c r="B1311" t="inlineStr">
        <is>
          <t>01 Game</t>
        </is>
      </c>
      <c r="C1311">
        <f>HYPERLINK("https://codeforces.com/problemset/problem/1373/B","Solve Problem")</f>
        <v/>
      </c>
      <c r="D1311" t="inlineStr">
        <is>
          <t>-</t>
        </is>
      </c>
      <c r="E1311" t="inlineStr">
        <is>
          <t>Easy</t>
        </is>
      </c>
      <c r="F1311" t="n">
        <v>24</v>
      </c>
      <c r="G1311" t="inlineStr">
        <is>
          <t>Game Theory</t>
        </is>
      </c>
      <c r="H1311" t="inlineStr">
        <is>
          <t>Level I</t>
        </is>
      </c>
      <c r="I1311" t="inlineStr">
        <is>
          <t>Codeforces</t>
        </is>
      </c>
      <c r="J1311" t="inlineStr">
        <is>
          <t>Problem</t>
        </is>
      </c>
    </row>
    <row r="1312">
      <c r="A1312" t="n">
        <v>1420</v>
      </c>
      <c r="B1312" t="inlineStr">
        <is>
          <t>Digit Game</t>
        </is>
      </c>
      <c r="C1312">
        <f>HYPERLINK("https://codeforces.com/problemset/problem/1419/A","Solve Problem")</f>
        <v/>
      </c>
      <c r="D1312" t="inlineStr">
        <is>
          <t>-</t>
        </is>
      </c>
      <c r="E1312" t="inlineStr">
        <is>
          <t>Easy</t>
        </is>
      </c>
      <c r="F1312" t="n">
        <v>24</v>
      </c>
      <c r="G1312" t="inlineStr">
        <is>
          <t>Game Theory</t>
        </is>
      </c>
      <c r="H1312" t="inlineStr">
        <is>
          <t>Level I</t>
        </is>
      </c>
      <c r="I1312" t="inlineStr">
        <is>
          <t>Codeforces</t>
        </is>
      </c>
      <c r="J1312" t="inlineStr">
        <is>
          <t>Problem</t>
        </is>
      </c>
    </row>
    <row r="1313">
      <c r="A1313" t="n">
        <v>424</v>
      </c>
      <c r="B1313" t="inlineStr">
        <is>
          <t>Can I Win</t>
        </is>
      </c>
      <c r="C1313">
        <f>HYPERLINK("https://leetcode.com/problems/can-i-win/","can-i-win")</f>
        <v/>
      </c>
      <c r="D1313" t="inlineStr">
        <is>
          <t>-</t>
        </is>
      </c>
      <c r="E1313" t="inlineStr">
        <is>
          <t>Medium</t>
        </is>
      </c>
      <c r="F1313" t="n">
        <v>24</v>
      </c>
      <c r="G1313" t="inlineStr">
        <is>
          <t>Game Theory</t>
        </is>
      </c>
      <c r="H1313" t="inlineStr">
        <is>
          <t>Level II</t>
        </is>
      </c>
      <c r="I1313" t="inlineStr">
        <is>
          <t>Leetcode</t>
        </is>
      </c>
      <c r="J1313" t="inlineStr">
        <is>
          <t>Problem</t>
        </is>
      </c>
    </row>
    <row r="1314">
      <c r="A1314" t="n">
        <v>788</v>
      </c>
      <c r="B1314" t="inlineStr">
        <is>
          <t>Guess Number Higher or Lower II</t>
        </is>
      </c>
      <c r="C1314">
        <f>HYPERLINK("https://leetcode.com/problems/guess-number-higher-or-lower-ii/","guess-number-higher-or-lower-ii")</f>
        <v/>
      </c>
      <c r="D1314" t="inlineStr">
        <is>
          <t>-</t>
        </is>
      </c>
      <c r="E1314" t="inlineStr">
        <is>
          <t>Medium</t>
        </is>
      </c>
      <c r="F1314" t="n">
        <v>24</v>
      </c>
      <c r="G1314" t="inlineStr">
        <is>
          <t>Game Theory</t>
        </is>
      </c>
      <c r="H1314" t="inlineStr">
        <is>
          <t>Level II</t>
        </is>
      </c>
      <c r="I1314" t="inlineStr">
        <is>
          <t>Leetcode</t>
        </is>
      </c>
      <c r="J1314" t="inlineStr">
        <is>
          <t>Problem</t>
        </is>
      </c>
    </row>
    <row r="1315">
      <c r="A1315" t="n">
        <v>925</v>
      </c>
      <c r="B1315" t="inlineStr">
        <is>
          <t>Maximum Number of Coins You Can Get</t>
        </is>
      </c>
      <c r="C1315">
        <f>HYPERLINK("https://leetcode.com/problems/maximum-number-of-coins-you-can-get","maximum-number-of-coins-you-can-get")</f>
        <v/>
      </c>
      <c r="D1315" t="inlineStr">
        <is>
          <t>-</t>
        </is>
      </c>
      <c r="E1315" t="inlineStr">
        <is>
          <t>Medium</t>
        </is>
      </c>
      <c r="F1315" t="n">
        <v>24</v>
      </c>
      <c r="G1315" t="inlineStr">
        <is>
          <t>Game Theory</t>
        </is>
      </c>
      <c r="H1315" t="inlineStr">
        <is>
          <t>Level II</t>
        </is>
      </c>
      <c r="I1315" t="inlineStr">
        <is>
          <t>Leetcode</t>
        </is>
      </c>
      <c r="J1315" t="inlineStr">
        <is>
          <t>Problem</t>
        </is>
      </c>
    </row>
    <row r="1316">
      <c r="A1316" t="n">
        <v>975</v>
      </c>
      <c r="B1316" t="inlineStr">
        <is>
          <t>Remove Colored Pieces if Both Neighbors are the Same Color</t>
        </is>
      </c>
      <c r="C1316">
        <f>HYPERLINK("https://leetcode.com/problems/remove-colored-pieces-if-both-neighbors-are-the-same-color","remove-colored-pieces-if-both-neighbors-are-the-same-color")</f>
        <v/>
      </c>
      <c r="D1316" t="inlineStr">
        <is>
          <t>-</t>
        </is>
      </c>
      <c r="E1316" t="inlineStr">
        <is>
          <t>Medium</t>
        </is>
      </c>
      <c r="F1316" t="n">
        <v>24</v>
      </c>
      <c r="G1316" t="inlineStr">
        <is>
          <t>Game Theory</t>
        </is>
      </c>
      <c r="H1316" t="inlineStr">
        <is>
          <t>Level II</t>
        </is>
      </c>
      <c r="I1316" t="inlineStr">
        <is>
          <t>Leetcode</t>
        </is>
      </c>
      <c r="J1316" t="inlineStr">
        <is>
          <t>Problem</t>
        </is>
      </c>
    </row>
    <row r="1317">
      <c r="A1317" t="n">
        <v>1420</v>
      </c>
      <c r="B1317" t="inlineStr">
        <is>
          <t>Digit Game</t>
        </is>
      </c>
      <c r="C1317">
        <f>HYPERLINK("https://codeforces.com/problemset/problem/1419/A","Solve Problem")</f>
        <v/>
      </c>
      <c r="D1317" t="inlineStr">
        <is>
          <t>-</t>
        </is>
      </c>
      <c r="E1317" t="inlineStr">
        <is>
          <t>Medium</t>
        </is>
      </c>
      <c r="F1317" t="n">
        <v>24</v>
      </c>
      <c r="G1317" t="inlineStr">
        <is>
          <t>Game Theory</t>
        </is>
      </c>
      <c r="H1317" t="inlineStr">
        <is>
          <t>Level II</t>
        </is>
      </c>
      <c r="I1317" t="inlineStr">
        <is>
          <t>Codeforces</t>
        </is>
      </c>
      <c r="J1317" t="inlineStr">
        <is>
          <t>Problem</t>
        </is>
      </c>
    </row>
    <row r="1318">
      <c r="A1318" t="n">
        <v>1423</v>
      </c>
      <c r="B1318" t="inlineStr">
        <is>
          <t>Dinner With Emma</t>
        </is>
      </c>
      <c r="C1318">
        <f>HYPERLINK("https://codeforces.com/problemset/problem/616/B","Solve Problem")</f>
        <v/>
      </c>
      <c r="D1318" t="inlineStr">
        <is>
          <t>-</t>
        </is>
      </c>
      <c r="E1318" t="inlineStr">
        <is>
          <t>Medium</t>
        </is>
      </c>
      <c r="F1318" t="n">
        <v>24</v>
      </c>
      <c r="G1318" t="inlineStr">
        <is>
          <t>Game Theory</t>
        </is>
      </c>
      <c r="H1318" t="inlineStr">
        <is>
          <t>Level II</t>
        </is>
      </c>
      <c r="I1318" t="inlineStr">
        <is>
          <t>Codeforces</t>
        </is>
      </c>
      <c r="J1318" t="inlineStr">
        <is>
          <t>Problem</t>
        </is>
      </c>
    </row>
    <row r="1319">
      <c r="A1319" t="n">
        <v>1412</v>
      </c>
      <c r="B1319" t="inlineStr">
        <is>
          <t>Matrix Game</t>
        </is>
      </c>
      <c r="C1319">
        <f>HYPERLINK("https://codeforces.com/problemset/problem/1365/A","Solve Problem")</f>
        <v/>
      </c>
      <c r="D1319" t="inlineStr">
        <is>
          <t>-</t>
        </is>
      </c>
      <c r="E1319" t="inlineStr">
        <is>
          <t>Medium</t>
        </is>
      </c>
      <c r="F1319" t="n">
        <v>24</v>
      </c>
      <c r="G1319" t="inlineStr">
        <is>
          <t>Game Theory</t>
        </is>
      </c>
      <c r="H1319" t="inlineStr">
        <is>
          <t>Level II</t>
        </is>
      </c>
      <c r="I1319" t="inlineStr">
        <is>
          <t>Codeforces</t>
        </is>
      </c>
      <c r="J1319" t="inlineStr">
        <is>
          <t>Problem</t>
        </is>
      </c>
    </row>
    <row r="1320">
      <c r="A1320" t="n">
        <v>1397</v>
      </c>
      <c r="B1320" t="inlineStr">
        <is>
          <t>Sequential Game</t>
        </is>
      </c>
      <c r="C1320">
        <f>HYPERLINK("https://codeforces.com/contest/1382/problem/B","Solve Problem")</f>
        <v/>
      </c>
      <c r="D1320" t="inlineStr">
        <is>
          <t>-</t>
        </is>
      </c>
      <c r="E1320" t="inlineStr">
        <is>
          <t>Medium</t>
        </is>
      </c>
      <c r="F1320" t="n">
        <v>24</v>
      </c>
      <c r="G1320" t="inlineStr">
        <is>
          <t>Game Theory</t>
        </is>
      </c>
      <c r="H1320" t="inlineStr">
        <is>
          <t>Level II</t>
        </is>
      </c>
      <c r="I1320" t="inlineStr">
        <is>
          <t>Codeforces</t>
        </is>
      </c>
      <c r="J1320" t="inlineStr">
        <is>
          <t>Problem</t>
        </is>
      </c>
    </row>
    <row r="1321">
      <c r="A1321" t="n">
        <v>1416</v>
      </c>
      <c r="B1321" t="inlineStr">
        <is>
          <t>Ping-pong</t>
        </is>
      </c>
      <c r="C1321">
        <f>HYPERLINK("https://codeforces.com/problemset/problem/1455/C","Solve Problem")</f>
        <v/>
      </c>
      <c r="D1321" t="inlineStr">
        <is>
          <t>-</t>
        </is>
      </c>
      <c r="E1321" t="inlineStr">
        <is>
          <t>Medium</t>
        </is>
      </c>
      <c r="F1321" t="n">
        <v>24</v>
      </c>
      <c r="G1321" t="inlineStr">
        <is>
          <t>Game Theory</t>
        </is>
      </c>
      <c r="H1321" t="inlineStr">
        <is>
          <t>Level II</t>
        </is>
      </c>
      <c r="I1321" t="inlineStr">
        <is>
          <t>Codeforces</t>
        </is>
      </c>
      <c r="J1321" t="inlineStr">
        <is>
          <t>Problem</t>
        </is>
      </c>
    </row>
    <row r="1322">
      <c r="A1322" t="n">
        <v>1426</v>
      </c>
      <c r="B1322" t="inlineStr">
        <is>
          <t>Godsend</t>
        </is>
      </c>
      <c r="C1322">
        <f>HYPERLINK("https://codeforces.com/problemset/problem/841/B","Solve Problem")</f>
        <v/>
      </c>
      <c r="D1322" t="inlineStr">
        <is>
          <t>-</t>
        </is>
      </c>
      <c r="E1322" t="inlineStr">
        <is>
          <t>Medium</t>
        </is>
      </c>
      <c r="F1322" t="n">
        <v>24</v>
      </c>
      <c r="G1322" t="inlineStr">
        <is>
          <t>Game Theory</t>
        </is>
      </c>
      <c r="H1322" t="inlineStr">
        <is>
          <t>Level II</t>
        </is>
      </c>
      <c r="I1322" t="inlineStr">
        <is>
          <t>Codeforces</t>
        </is>
      </c>
      <c r="J1322" t="inlineStr">
        <is>
          <t>Problem</t>
        </is>
      </c>
    </row>
    <row r="1323">
      <c r="A1323" t="n">
        <v>1425</v>
      </c>
      <c r="B1323" t="inlineStr">
        <is>
          <t>PolandBall and Game</t>
        </is>
      </c>
      <c r="C1323">
        <f>HYPERLINK("https://codeforces.com/problemset/problem/755/B","Solve Problem")</f>
        <v/>
      </c>
      <c r="D1323" t="inlineStr">
        <is>
          <t>-</t>
        </is>
      </c>
      <c r="E1323" t="inlineStr">
        <is>
          <t>Medium</t>
        </is>
      </c>
      <c r="F1323" t="n">
        <v>24</v>
      </c>
      <c r="G1323" t="inlineStr">
        <is>
          <t>Game Theory</t>
        </is>
      </c>
      <c r="H1323" t="inlineStr">
        <is>
          <t>Level II</t>
        </is>
      </c>
      <c r="I1323" t="inlineStr">
        <is>
          <t>Codeforces</t>
        </is>
      </c>
      <c r="J1323" t="inlineStr">
        <is>
          <t>Problem</t>
        </is>
      </c>
    </row>
    <row r="1324">
      <c r="A1324" t="n">
        <v>1419</v>
      </c>
      <c r="B1324" t="inlineStr">
        <is>
          <t>Even-Odd Game</t>
        </is>
      </c>
      <c r="C1324">
        <f>HYPERLINK("https://codeforces.com/problemset/problem/1472/D","Solve Problem")</f>
        <v/>
      </c>
      <c r="D1324" t="inlineStr">
        <is>
          <t>-</t>
        </is>
      </c>
      <c r="E1324" t="inlineStr">
        <is>
          <t>Medium</t>
        </is>
      </c>
      <c r="F1324" t="n">
        <v>24</v>
      </c>
      <c r="G1324" t="inlineStr">
        <is>
          <t>Game Theory</t>
        </is>
      </c>
      <c r="H1324" t="inlineStr">
        <is>
          <t>Level II</t>
        </is>
      </c>
      <c r="I1324" t="inlineStr">
        <is>
          <t>Codeforces</t>
        </is>
      </c>
      <c r="J1324" t="inlineStr">
        <is>
          <t>Problem</t>
        </is>
      </c>
    </row>
    <row r="1325">
      <c r="A1325" t="n">
        <v>1410</v>
      </c>
      <c r="B1325" t="inlineStr">
        <is>
          <t>Palindrome Game</t>
        </is>
      </c>
      <c r="C1325">
        <f>HYPERLINK("https://codeforces.com/contest/1527/problem/B1","Solve Problem")</f>
        <v/>
      </c>
      <c r="D1325" t="inlineStr">
        <is>
          <t>-</t>
        </is>
      </c>
      <c r="E1325" t="inlineStr">
        <is>
          <t>Medium</t>
        </is>
      </c>
      <c r="F1325" t="n">
        <v>24</v>
      </c>
      <c r="G1325" t="inlineStr">
        <is>
          <t>Game Theory</t>
        </is>
      </c>
      <c r="H1325" t="inlineStr">
        <is>
          <t>Level II</t>
        </is>
      </c>
      <c r="I1325" t="inlineStr">
        <is>
          <t>Codeforces</t>
        </is>
      </c>
      <c r="J1325" t="inlineStr">
        <is>
          <t>Problem</t>
        </is>
      </c>
    </row>
    <row r="1326">
      <c r="A1326" t="n">
        <v>884</v>
      </c>
      <c r="B1326" t="inlineStr">
        <is>
          <t>Cat and Mouse</t>
        </is>
      </c>
      <c r="C1326">
        <f>HYPERLINK("https://leetcode.com/problems/cat-and-mouse/description/","cat-and-mouse")</f>
        <v/>
      </c>
      <c r="D1326" t="inlineStr">
        <is>
          <t>-</t>
        </is>
      </c>
      <c r="E1326" t="inlineStr">
        <is>
          <t>Hard</t>
        </is>
      </c>
      <c r="F1326" t="n">
        <v>24</v>
      </c>
      <c r="G1326" t="inlineStr">
        <is>
          <t>Game Theory</t>
        </is>
      </c>
      <c r="H1326" t="inlineStr">
        <is>
          <t>Level III</t>
        </is>
      </c>
      <c r="I1326" t="inlineStr">
        <is>
          <t>Leetcode</t>
        </is>
      </c>
      <c r="J1326" t="inlineStr">
        <is>
          <t>Problem</t>
        </is>
      </c>
    </row>
    <row r="1327">
      <c r="A1327" t="n">
        <v>948</v>
      </c>
      <c r="B1327" t="inlineStr">
        <is>
          <t>Cat and Mouse II</t>
        </is>
      </c>
      <c r="C1327">
        <f>HYPERLINK("https://leetcode.com/problems/cat-and-mouse-ii","cat-and-mouse-ii")</f>
        <v/>
      </c>
      <c r="D1327" t="inlineStr">
        <is>
          <t>-</t>
        </is>
      </c>
      <c r="E1327" t="inlineStr">
        <is>
          <t>Hard</t>
        </is>
      </c>
      <c r="F1327" t="n">
        <v>24</v>
      </c>
      <c r="G1327" t="inlineStr">
        <is>
          <t>Game Theory</t>
        </is>
      </c>
      <c r="H1327" t="inlineStr">
        <is>
          <t>Level III</t>
        </is>
      </c>
      <c r="I1327" t="inlineStr">
        <is>
          <t>Leetcode</t>
        </is>
      </c>
      <c r="J1327" t="inlineStr">
        <is>
          <t>Problem</t>
        </is>
      </c>
    </row>
    <row r="1328">
      <c r="A1328" t="n">
        <v>954</v>
      </c>
      <c r="B1328" t="inlineStr">
        <is>
          <t>Guess the Word</t>
        </is>
      </c>
      <c r="C1328">
        <f>HYPERLINK("https://leetcode.com/problems/guess-the-word","guess-the-word")</f>
        <v/>
      </c>
      <c r="D1328" t="inlineStr">
        <is>
          <t>-</t>
        </is>
      </c>
      <c r="E1328" t="inlineStr">
        <is>
          <t>Hard</t>
        </is>
      </c>
      <c r="F1328" t="n">
        <v>24</v>
      </c>
      <c r="G1328" t="inlineStr">
        <is>
          <t>Game Theory</t>
        </is>
      </c>
      <c r="H1328" t="inlineStr">
        <is>
          <t>Level III</t>
        </is>
      </c>
      <c r="I1328" t="inlineStr">
        <is>
          <t>Leetcode</t>
        </is>
      </c>
      <c r="J1328" t="inlineStr">
        <is>
          <t>Problem</t>
        </is>
      </c>
    </row>
    <row r="1329">
      <c r="A1329" t="n">
        <v>424</v>
      </c>
      <c r="B1329" t="inlineStr">
        <is>
          <t>Can I Win</t>
        </is>
      </c>
      <c r="C1329">
        <f>HYPERLINK("https://leetcode.com/problems/can-i-win/","can-i-win")</f>
        <v/>
      </c>
      <c r="D1329" t="inlineStr">
        <is>
          <t>-</t>
        </is>
      </c>
      <c r="E1329" t="inlineStr">
        <is>
          <t>Medium</t>
        </is>
      </c>
      <c r="F1329" t="n">
        <v>25</v>
      </c>
      <c r="G1329" t="inlineStr">
        <is>
          <t>Dynamic Programming Level 2</t>
        </is>
      </c>
      <c r="H1329" t="inlineStr">
        <is>
          <t>DP with Bitmask</t>
        </is>
      </c>
      <c r="I1329" t="inlineStr">
        <is>
          <t>Leetcode</t>
        </is>
      </c>
      <c r="J1329" t="inlineStr">
        <is>
          <t>Problem</t>
        </is>
      </c>
    </row>
    <row r="1330">
      <c r="A1330" t="n">
        <v>587</v>
      </c>
      <c r="B1330" t="inlineStr">
        <is>
          <t>Partition to K Equal Sum Subsets</t>
        </is>
      </c>
      <c r="C1330">
        <f>HYPERLINK("https://leetcode.com/problems/partition-to-k-equal-sum-subsets/","partition-to-k-equal-sum-subsets")</f>
        <v/>
      </c>
      <c r="D1330" t="inlineStr">
        <is>
          <t>-</t>
        </is>
      </c>
      <c r="E1330" t="inlineStr">
        <is>
          <t>Medium</t>
        </is>
      </c>
      <c r="F1330" t="n">
        <v>25</v>
      </c>
      <c r="G1330" t="inlineStr">
        <is>
          <t>Dynamic Programming Level 2</t>
        </is>
      </c>
      <c r="H1330" t="inlineStr">
        <is>
          <t>DP with Bitmask</t>
        </is>
      </c>
      <c r="I1330" t="inlineStr">
        <is>
          <t>Leetcode</t>
        </is>
      </c>
      <c r="J1330" t="inlineStr">
        <is>
          <t>Problem</t>
        </is>
      </c>
    </row>
    <row r="1331">
      <c r="A1331" t="n">
        <v>6</v>
      </c>
      <c r="B1331" t="inlineStr">
        <is>
          <t>Stickers to Spell Word</t>
        </is>
      </c>
      <c r="C1331">
        <f>HYPERLINK("https://leetcode.com/problems/stickers-to-spell-word/","stickers-to-spell-word")</f>
        <v/>
      </c>
      <c r="D1331" t="inlineStr">
        <is>
          <t>-</t>
        </is>
      </c>
      <c r="E1331" t="inlineStr">
        <is>
          <t>Hard</t>
        </is>
      </c>
      <c r="F1331" t="n">
        <v>25</v>
      </c>
      <c r="G1331" t="inlineStr">
        <is>
          <t>Dynamic Programming Level 2</t>
        </is>
      </c>
      <c r="H1331" t="inlineStr">
        <is>
          <t>DP with Bitmask</t>
        </is>
      </c>
      <c r="I1331" t="inlineStr">
        <is>
          <t>Leetcode</t>
        </is>
      </c>
      <c r="J1331" t="inlineStr">
        <is>
          <t>Problem</t>
        </is>
      </c>
    </row>
    <row r="1332">
      <c r="A1332" t="n">
        <v>860</v>
      </c>
      <c r="B1332" t="inlineStr">
        <is>
          <t>Smallest Sufficient Team</t>
        </is>
      </c>
      <c r="C1332">
        <f>HYPERLINK("https://leetcode.com/problems/smallest-sufficient-team/","smallest-sufficient-team")</f>
        <v/>
      </c>
      <c r="D1332" t="inlineStr">
        <is>
          <t>-</t>
        </is>
      </c>
      <c r="E1332" t="inlineStr">
        <is>
          <t>Hard</t>
        </is>
      </c>
      <c r="F1332" t="n">
        <v>25</v>
      </c>
      <c r="G1332" t="inlineStr">
        <is>
          <t>Dynamic Programming Level 2</t>
        </is>
      </c>
      <c r="H1332" t="inlineStr">
        <is>
          <t>DP with Bitmask</t>
        </is>
      </c>
      <c r="I1332" t="inlineStr">
        <is>
          <t>Leetcode</t>
        </is>
      </c>
      <c r="J1332" t="inlineStr">
        <is>
          <t>Problem</t>
        </is>
      </c>
    </row>
    <row r="1333">
      <c r="A1333" t="n">
        <v>7</v>
      </c>
      <c r="B1333" t="inlineStr">
        <is>
          <t>Maximum Students Taking Exam</t>
        </is>
      </c>
      <c r="C1333">
        <f>HYPERLINK("https://leetcode.com/problems/maximum-students-taking-exam/","maximum-students-taking-exam")</f>
        <v/>
      </c>
      <c r="D1333" t="inlineStr">
        <is>
          <t>-</t>
        </is>
      </c>
      <c r="E1333" t="inlineStr">
        <is>
          <t>Hard</t>
        </is>
      </c>
      <c r="F1333" t="n">
        <v>25</v>
      </c>
      <c r="G1333" t="inlineStr">
        <is>
          <t>Dynamic Programming Level 2</t>
        </is>
      </c>
      <c r="H1333" t="inlineStr">
        <is>
          <t>DP with Bitmask</t>
        </is>
      </c>
      <c r="I1333" t="inlineStr">
        <is>
          <t>Leetcode</t>
        </is>
      </c>
      <c r="J1333" t="inlineStr">
        <is>
          <t>Problem</t>
        </is>
      </c>
    </row>
    <row r="1334">
      <c r="A1334" t="n">
        <v>576</v>
      </c>
      <c r="B1334" t="inlineStr">
        <is>
          <t>Number of Ways to Wear Different Hats to Each Other</t>
        </is>
      </c>
      <c r="C1334">
        <f>HYPERLINK("https://leetcode.com/problems/number-of-ways-to-wear-different-hats-to-each-other/","number-of-ways-to-wear-different-hats-to-each-other")</f>
        <v/>
      </c>
      <c r="D1334" t="inlineStr">
        <is>
          <t>-</t>
        </is>
      </c>
      <c r="E1334" t="inlineStr">
        <is>
          <t>Hard</t>
        </is>
      </c>
      <c r="F1334" t="n">
        <v>25</v>
      </c>
      <c r="G1334" t="inlineStr">
        <is>
          <t>Dynamic Programming Level 2</t>
        </is>
      </c>
      <c r="H1334" t="inlineStr">
        <is>
          <t>DP with Bitmask</t>
        </is>
      </c>
      <c r="I1334" t="inlineStr">
        <is>
          <t>Leetcode</t>
        </is>
      </c>
      <c r="J1334" t="inlineStr">
        <is>
          <t>Problem</t>
        </is>
      </c>
    </row>
    <row r="1335">
      <c r="A1335" t="n">
        <v>377</v>
      </c>
      <c r="B1335" t="inlineStr">
        <is>
          <t>Minimum Cost to Connect Two Groups of Points</t>
        </is>
      </c>
      <c r="C1335">
        <f>HYPERLINK("https://leetcode.com/problems/minimum-cost-to-connect-two-groups-of-points/","minimum-cost-to-connect-two-groups-of-points")</f>
        <v/>
      </c>
      <c r="D1335" t="inlineStr">
        <is>
          <t>-</t>
        </is>
      </c>
      <c r="E1335" t="inlineStr">
        <is>
          <t>Hard</t>
        </is>
      </c>
      <c r="F1335" t="n">
        <v>25</v>
      </c>
      <c r="G1335" t="inlineStr">
        <is>
          <t>Dynamic Programming Level 2</t>
        </is>
      </c>
      <c r="H1335" t="inlineStr">
        <is>
          <t>DP with Bitmask</t>
        </is>
      </c>
      <c r="I1335" t="inlineStr">
        <is>
          <t>Leetcode</t>
        </is>
      </c>
      <c r="J1335" t="inlineStr">
        <is>
          <t>Problem</t>
        </is>
      </c>
    </row>
    <row r="1336">
      <c r="A1336" t="n">
        <v>509</v>
      </c>
      <c r="B1336" t="inlineStr">
        <is>
          <t>Maximum Number of Achievable Transfer Requests</t>
        </is>
      </c>
      <c r="C1336">
        <f>HYPERLINK("https://leetcode.com/problems/maximum-number-of-achievable-transfer-requests/","maximum-number-of-achievable-transfer-requests")</f>
        <v/>
      </c>
      <c r="D1336" t="inlineStr">
        <is>
          <t>-</t>
        </is>
      </c>
      <c r="E1336" t="inlineStr">
        <is>
          <t>Hard</t>
        </is>
      </c>
      <c r="F1336" t="n">
        <v>25</v>
      </c>
      <c r="G1336" t="inlineStr">
        <is>
          <t>Dynamic Programming Level 2</t>
        </is>
      </c>
      <c r="H1336" t="inlineStr">
        <is>
          <t>DP with Bitmask</t>
        </is>
      </c>
      <c r="I1336" t="inlineStr">
        <is>
          <t>Leetcode</t>
        </is>
      </c>
      <c r="J1336" t="inlineStr">
        <is>
          <t>Problem</t>
        </is>
      </c>
    </row>
    <row r="1337">
      <c r="A1337" t="n">
        <v>1446</v>
      </c>
      <c r="B1337" t="inlineStr">
        <is>
          <t>Little Elephant and T-Shirts</t>
        </is>
      </c>
      <c r="C1337">
        <f>HYPERLINK("https://www.codechef.com/problems/TSHIRTS","Solve Problem")</f>
        <v/>
      </c>
      <c r="D1337" t="inlineStr">
        <is>
          <t>-</t>
        </is>
      </c>
      <c r="E1337" t="inlineStr">
        <is>
          <t>Hard</t>
        </is>
      </c>
      <c r="F1337" t="n">
        <v>25</v>
      </c>
      <c r="G1337" t="inlineStr">
        <is>
          <t>Dynamic Programming Level 2</t>
        </is>
      </c>
      <c r="H1337" t="inlineStr">
        <is>
          <t>DP with Bitmask</t>
        </is>
      </c>
      <c r="I1337" t="inlineStr">
        <is>
          <t>Codechef</t>
        </is>
      </c>
      <c r="J1337" t="inlineStr">
        <is>
          <t>Problem</t>
        </is>
      </c>
    </row>
    <row r="1338">
      <c r="A1338" t="n">
        <v>147</v>
      </c>
      <c r="B1338" t="inlineStr">
        <is>
          <t>Distribute Repeating Integers</t>
        </is>
      </c>
      <c r="C1338">
        <f>HYPERLINK("https://leetcode.com/problems/distribute-repeating-integers/","distribute-repeating-integers")</f>
        <v/>
      </c>
      <c r="D1338" t="inlineStr">
        <is>
          <t>-</t>
        </is>
      </c>
      <c r="E1338" t="inlineStr">
        <is>
          <t>Hard</t>
        </is>
      </c>
      <c r="F1338" t="n">
        <v>25</v>
      </c>
      <c r="G1338" t="inlineStr">
        <is>
          <t>Dynamic Programming Level 2</t>
        </is>
      </c>
      <c r="H1338" t="inlineStr">
        <is>
          <t>DP with Bitmask</t>
        </is>
      </c>
      <c r="I1338" t="inlineStr">
        <is>
          <t>Leetcode</t>
        </is>
      </c>
      <c r="J1338" t="inlineStr">
        <is>
          <t>Problem</t>
        </is>
      </c>
    </row>
    <row r="1339">
      <c r="A1339" t="n">
        <v>308</v>
      </c>
      <c r="B1339" t="inlineStr">
        <is>
          <t>Maximize Grid Happiness</t>
        </is>
      </c>
      <c r="C1339">
        <f>HYPERLINK("https://leetcode.com/problems/maximize-grid-happiness/","maximize-grid-happiness")</f>
        <v/>
      </c>
      <c r="D1339" t="inlineStr">
        <is>
          <t>-</t>
        </is>
      </c>
      <c r="E1339" t="inlineStr">
        <is>
          <t>Hard</t>
        </is>
      </c>
      <c r="F1339" t="n">
        <v>25</v>
      </c>
      <c r="G1339" t="inlineStr">
        <is>
          <t>Dynamic Programming Level 2</t>
        </is>
      </c>
      <c r="H1339" t="inlineStr">
        <is>
          <t>DP with Bitmask</t>
        </is>
      </c>
      <c r="I1339" t="inlineStr">
        <is>
          <t>Leetcode</t>
        </is>
      </c>
      <c r="J1339" t="inlineStr">
        <is>
          <t>Problem</t>
        </is>
      </c>
    </row>
    <row r="1340">
      <c r="A1340" t="n">
        <v>462</v>
      </c>
      <c r="B1340" t="inlineStr">
        <is>
          <t>Find Minimum Time to Finish All Jobs</t>
        </is>
      </c>
      <c r="C1340">
        <f>HYPERLINK("https://leetcode.com/problems/find-minimum-time-to-finish-all-jobs/","find-minimum-time-to-finish-all-jobs")</f>
        <v/>
      </c>
      <c r="D1340" t="inlineStr">
        <is>
          <t>-</t>
        </is>
      </c>
      <c r="E1340" t="inlineStr">
        <is>
          <t>Hard</t>
        </is>
      </c>
      <c r="F1340" t="n">
        <v>25</v>
      </c>
      <c r="G1340" t="inlineStr">
        <is>
          <t>Dynamic Programming Level 2</t>
        </is>
      </c>
      <c r="H1340" t="inlineStr">
        <is>
          <t>DP with Bitmask</t>
        </is>
      </c>
      <c r="I1340" t="inlineStr">
        <is>
          <t>Leetcode</t>
        </is>
      </c>
      <c r="J1340" t="inlineStr">
        <is>
          <t>Problem</t>
        </is>
      </c>
    </row>
    <row r="1341">
      <c r="A1341" t="n">
        <v>420</v>
      </c>
      <c r="B1341" t="inlineStr">
        <is>
          <t>Minimum Sum of Values by Dividing Array</t>
        </is>
      </c>
      <c r="C1341">
        <f>HYPERLINK("https://leetcode.com/problems/minimum-sum-of-values-by-dividing-array/description/","minimum-sum-of-values-by-dividing-array")</f>
        <v/>
      </c>
      <c r="D1341" t="inlineStr">
        <is>
          <t>-</t>
        </is>
      </c>
      <c r="E1341" t="inlineStr">
        <is>
          <t>Hard</t>
        </is>
      </c>
      <c r="F1341" t="n">
        <v>25</v>
      </c>
      <c r="G1341" t="inlineStr">
        <is>
          <t>Dynamic Programming Level 2</t>
        </is>
      </c>
      <c r="H1341" t="inlineStr">
        <is>
          <t>DP with Bitmask</t>
        </is>
      </c>
      <c r="I1341" t="inlineStr">
        <is>
          <t>Leetcode</t>
        </is>
      </c>
      <c r="J1341" t="inlineStr">
        <is>
          <t>Problem</t>
        </is>
      </c>
    </row>
    <row r="1342">
      <c r="A1342" t="n">
        <v>17</v>
      </c>
      <c r="B1342" t="inlineStr">
        <is>
          <t>Shortest Path Visiting All Nodes</t>
        </is>
      </c>
      <c r="C1342">
        <f>HYPERLINK("https://leetcode.com/problems/shortest-path-visiting-all-nodes/","shortest-path-visiting-all-nodes")</f>
        <v/>
      </c>
      <c r="D1342" t="inlineStr">
        <is>
          <t>-</t>
        </is>
      </c>
      <c r="E1342" t="inlineStr">
        <is>
          <t>Hard</t>
        </is>
      </c>
      <c r="F1342" t="n">
        <v>25</v>
      </c>
      <c r="G1342" t="inlineStr">
        <is>
          <t>Dynamic Programming Level 2</t>
        </is>
      </c>
      <c r="H1342" t="inlineStr">
        <is>
          <t>DP with Bitmask</t>
        </is>
      </c>
      <c r="I1342" t="inlineStr">
        <is>
          <t>Leetcode</t>
        </is>
      </c>
      <c r="J1342" t="inlineStr">
        <is>
          <t>Problem</t>
        </is>
      </c>
    </row>
    <row r="1343">
      <c r="A1343" t="n">
        <v>1401</v>
      </c>
      <c r="B1343" t="inlineStr">
        <is>
          <t>Grouping</t>
        </is>
      </c>
      <c r="C1343">
        <f>HYPERLINK("https://atcoder.jp/contests/dp/tasks/dp_u","Solve Problem")</f>
        <v/>
      </c>
      <c r="D1343" t="inlineStr">
        <is>
          <t>-</t>
        </is>
      </c>
      <c r="E1343" t="inlineStr">
        <is>
          <t>Hard</t>
        </is>
      </c>
      <c r="F1343" t="n">
        <v>25</v>
      </c>
      <c r="G1343" t="inlineStr">
        <is>
          <t>Dynamic Programming Level 2</t>
        </is>
      </c>
      <c r="H1343" t="inlineStr">
        <is>
          <t>DP with Bitmask</t>
        </is>
      </c>
      <c r="I1343" t="inlineStr">
        <is>
          <t>Atcoder</t>
        </is>
      </c>
      <c r="J1343" t="inlineStr">
        <is>
          <t>Problem</t>
        </is>
      </c>
    </row>
    <row r="1344">
      <c r="A1344" t="n">
        <v>1405</v>
      </c>
      <c r="B1344" t="inlineStr">
        <is>
          <t>Matching</t>
        </is>
      </c>
      <c r="C1344">
        <f>HYPERLINK("https://atcoder.jp/contests/dp/tasks/dp_o","Solve Problem")</f>
        <v/>
      </c>
      <c r="D1344" t="inlineStr">
        <is>
          <t>-</t>
        </is>
      </c>
      <c r="E1344" t="inlineStr">
        <is>
          <t>Hard</t>
        </is>
      </c>
      <c r="F1344" t="n">
        <v>25</v>
      </c>
      <c r="G1344" t="inlineStr">
        <is>
          <t>Dynamic Programming Level 2</t>
        </is>
      </c>
      <c r="H1344" t="inlineStr">
        <is>
          <t>DP with Bitmask</t>
        </is>
      </c>
      <c r="I1344" t="inlineStr">
        <is>
          <t>Atcoder</t>
        </is>
      </c>
      <c r="J1344" t="inlineStr">
        <is>
          <t>Problem</t>
        </is>
      </c>
    </row>
    <row r="1345">
      <c r="A1345" t="n">
        <v>1444</v>
      </c>
      <c r="B1345" t="inlineStr">
        <is>
          <t>Counting Numbers</t>
        </is>
      </c>
      <c r="C1345">
        <f>HYPERLINK("https://cses.fi/problemset/task/2220","Solve Problem")</f>
        <v/>
      </c>
      <c r="D1345" t="inlineStr">
        <is>
          <t>-</t>
        </is>
      </c>
      <c r="E1345" t="inlineStr">
        <is>
          <t>Hard</t>
        </is>
      </c>
      <c r="F1345" t="n">
        <v>25</v>
      </c>
      <c r="G1345" t="inlineStr">
        <is>
          <t>Dynamic Programming Level 2</t>
        </is>
      </c>
      <c r="H1345" t="inlineStr">
        <is>
          <t>Digit DP</t>
        </is>
      </c>
      <c r="I1345" t="inlineStr">
        <is>
          <t>Cses</t>
        </is>
      </c>
      <c r="J1345" t="inlineStr">
        <is>
          <t>Problem</t>
        </is>
      </c>
    </row>
    <row r="1346">
      <c r="A1346" t="n">
        <v>550</v>
      </c>
      <c r="B1346" t="inlineStr">
        <is>
          <t>Non-negative Integers without Consecutive Ones</t>
        </is>
      </c>
      <c r="C1346">
        <f>HYPERLINK("https://leetcode.com/problems/non-negative-integers-without-consecutive-ones/","non-negative-integers-without-consecutive-ones")</f>
        <v/>
      </c>
      <c r="D1346" t="inlineStr">
        <is>
          <t>-</t>
        </is>
      </c>
      <c r="E1346" t="inlineStr">
        <is>
          <t>Hard</t>
        </is>
      </c>
      <c r="F1346" t="n">
        <v>25</v>
      </c>
      <c r="G1346" t="inlineStr">
        <is>
          <t>Dynamic Programming Level 2</t>
        </is>
      </c>
      <c r="H1346" t="inlineStr">
        <is>
          <t>Digit DP</t>
        </is>
      </c>
      <c r="I1346" t="inlineStr">
        <is>
          <t>Leetcode</t>
        </is>
      </c>
      <c r="J1346" t="inlineStr">
        <is>
          <t>Problem</t>
        </is>
      </c>
    </row>
    <row r="1347">
      <c r="A1347" t="n">
        <v>801</v>
      </c>
      <c r="B1347" t="inlineStr">
        <is>
          <t>Numbers At Most N Given Digit Set</t>
        </is>
      </c>
      <c r="C1347">
        <f>HYPERLINK("https://leetcode.com/problems/numbers-at-most-n-given-digit-set/","numbers-at-most-n-given-digit-set")</f>
        <v/>
      </c>
      <c r="D1347" t="inlineStr">
        <is>
          <t>-</t>
        </is>
      </c>
      <c r="E1347" t="inlineStr">
        <is>
          <t>Hard</t>
        </is>
      </c>
      <c r="F1347" t="n">
        <v>25</v>
      </c>
      <c r="G1347" t="inlineStr">
        <is>
          <t>Dynamic Programming Level 2</t>
        </is>
      </c>
      <c r="H1347" t="inlineStr">
        <is>
          <t>Digit DP</t>
        </is>
      </c>
      <c r="I1347" t="inlineStr">
        <is>
          <t>Leetcode</t>
        </is>
      </c>
      <c r="J1347" t="inlineStr">
        <is>
          <t>Problem</t>
        </is>
      </c>
    </row>
    <row r="1348">
      <c r="A1348" t="n">
        <v>578</v>
      </c>
      <c r="B1348" t="inlineStr">
        <is>
          <t>Numbers With Repeated Digits</t>
        </is>
      </c>
      <c r="C1348">
        <f>HYPERLINK("https://leetcode.com/problems/numbers-with-repeated-digits/","numbers-with-repeated-digits")</f>
        <v/>
      </c>
      <c r="D1348" t="inlineStr">
        <is>
          <t>-</t>
        </is>
      </c>
      <c r="E1348" t="inlineStr">
        <is>
          <t>Hard</t>
        </is>
      </c>
      <c r="F1348" t="n">
        <v>25</v>
      </c>
      <c r="G1348" t="inlineStr">
        <is>
          <t>Dynamic Programming Level 2</t>
        </is>
      </c>
      <c r="H1348" t="inlineStr">
        <is>
          <t>Digit DP</t>
        </is>
      </c>
      <c r="I1348" t="inlineStr">
        <is>
          <t>Leetcode</t>
        </is>
      </c>
      <c r="J1348" t="inlineStr">
        <is>
          <t>Problem</t>
        </is>
      </c>
    </row>
    <row r="1349">
      <c r="A1349" t="n">
        <v>556</v>
      </c>
      <c r="B1349" t="inlineStr">
        <is>
          <t>Number of Digit One</t>
        </is>
      </c>
      <c r="C1349">
        <f>HYPERLINK("https://leetcode.com/problems/number-of-digit-one/","number-of-digit-one")</f>
        <v/>
      </c>
      <c r="D1349" t="inlineStr">
        <is>
          <t>-</t>
        </is>
      </c>
      <c r="E1349" t="inlineStr">
        <is>
          <t>Hard</t>
        </is>
      </c>
      <c r="F1349" t="n">
        <v>25</v>
      </c>
      <c r="G1349" t="inlineStr">
        <is>
          <t>Dynamic Programming Level 2</t>
        </is>
      </c>
      <c r="H1349" t="inlineStr">
        <is>
          <t>Digit DP</t>
        </is>
      </c>
      <c r="I1349" t="inlineStr">
        <is>
          <t>Leetcode</t>
        </is>
      </c>
      <c r="J1349" t="inlineStr">
        <is>
          <t>Problem</t>
        </is>
      </c>
    </row>
    <row r="1350">
      <c r="A1350" t="n">
        <v>553</v>
      </c>
      <c r="B1350" t="inlineStr">
        <is>
          <t>Number of Beautiful Integers in the Range</t>
        </is>
      </c>
      <c r="C1350">
        <f>HYPERLINK("https://leetcode.com/problems/number-of-beautiful-integers-in-the-range/","number-of-beautiful-integers-in-the-range")</f>
        <v/>
      </c>
      <c r="D1350" t="inlineStr">
        <is>
          <t>-</t>
        </is>
      </c>
      <c r="E1350" t="inlineStr">
        <is>
          <t>Hard</t>
        </is>
      </c>
      <c r="F1350" t="n">
        <v>25</v>
      </c>
      <c r="G1350" t="inlineStr">
        <is>
          <t>Dynamic Programming Level 2</t>
        </is>
      </c>
      <c r="H1350" t="inlineStr">
        <is>
          <t>Digit DP</t>
        </is>
      </c>
      <c r="I1350" t="inlineStr">
        <is>
          <t>Leetcode</t>
        </is>
      </c>
      <c r="J1350" t="inlineStr">
        <is>
          <t>Problem</t>
        </is>
      </c>
    </row>
    <row r="1351">
      <c r="A1351" t="n">
        <v>446</v>
      </c>
      <c r="B1351" t="inlineStr">
        <is>
          <t>Count the Number of Powerful Integers</t>
        </is>
      </c>
      <c r="C1351">
        <f>HYPERLINK("https://leetcode.com/problems/count-the-number-of-powerful-integers/description/","count-the-number-of-powerful-integers")</f>
        <v/>
      </c>
      <c r="D1351" t="inlineStr">
        <is>
          <t>-</t>
        </is>
      </c>
      <c r="E1351" t="inlineStr">
        <is>
          <t>Hard</t>
        </is>
      </c>
      <c r="F1351" t="n">
        <v>25</v>
      </c>
      <c r="G1351" t="inlineStr">
        <is>
          <t>Dynamic Programming Level 2</t>
        </is>
      </c>
      <c r="H1351" t="inlineStr">
        <is>
          <t>Digit DP</t>
        </is>
      </c>
      <c r="I1351" t="inlineStr">
        <is>
          <t>Leetcode</t>
        </is>
      </c>
      <c r="J1351" t="inlineStr">
        <is>
          <t>Problem</t>
        </is>
      </c>
    </row>
    <row r="1352">
      <c r="A1352" t="n">
        <v>160</v>
      </c>
      <c r="B1352" t="inlineStr">
        <is>
          <t>Find All Good Strings</t>
        </is>
      </c>
      <c r="C1352">
        <f>HYPERLINK("https://leetcode.com/problems/find-all-good-strings/description/","find-all-good-strings")</f>
        <v/>
      </c>
      <c r="D1352" t="inlineStr">
        <is>
          <t>-</t>
        </is>
      </c>
      <c r="E1352" t="inlineStr">
        <is>
          <t>Hard</t>
        </is>
      </c>
      <c r="F1352" t="n">
        <v>25</v>
      </c>
      <c r="G1352" t="inlineStr">
        <is>
          <t>Dynamic Programming Level 2</t>
        </is>
      </c>
      <c r="H1352" t="inlineStr">
        <is>
          <t>Digit DP</t>
        </is>
      </c>
      <c r="I1352" t="inlineStr">
        <is>
          <t>Leetcode</t>
        </is>
      </c>
      <c r="J1352" t="inlineStr">
        <is>
          <t>Problem</t>
        </is>
      </c>
    </row>
    <row r="1353">
      <c r="A1353" t="n">
        <v>212</v>
      </c>
      <c r="B1353" t="inlineStr">
        <is>
          <t>House Robber III</t>
        </is>
      </c>
      <c r="C1353">
        <f>HYPERLINK("https://leetcode.com/problems/house-robber-iii/","house-robber-iii")</f>
        <v/>
      </c>
      <c r="D1353" t="inlineStr">
        <is>
          <t>-</t>
        </is>
      </c>
      <c r="E1353" t="inlineStr">
        <is>
          <t>Medium</t>
        </is>
      </c>
      <c r="F1353" t="n">
        <v>25</v>
      </c>
      <c r="G1353" t="inlineStr">
        <is>
          <t>Dynamic Programming Level 2</t>
        </is>
      </c>
      <c r="H1353" t="inlineStr">
        <is>
          <t>DP on Trees</t>
        </is>
      </c>
      <c r="I1353" t="inlineStr">
        <is>
          <t>Leetcode</t>
        </is>
      </c>
      <c r="J1353" t="inlineStr">
        <is>
          <t>Problem</t>
        </is>
      </c>
    </row>
    <row r="1354">
      <c r="A1354" t="n">
        <v>274</v>
      </c>
      <c r="B1354" t="inlineStr">
        <is>
          <t>Longest ZigZag Path in a Binary Tree</t>
        </is>
      </c>
      <c r="C1354">
        <f>HYPERLINK("https://leetcode.com/problems/longest-zigzag-path-in-a-binary-tree/","longest-zigzag-path-in-a-binary-tree")</f>
        <v/>
      </c>
      <c r="D1354" t="inlineStr">
        <is>
          <t>-</t>
        </is>
      </c>
      <c r="E1354" t="inlineStr">
        <is>
          <t>Medium</t>
        </is>
      </c>
      <c r="F1354" t="n">
        <v>25</v>
      </c>
      <c r="G1354" t="inlineStr">
        <is>
          <t>Dynamic Programming Level 2</t>
        </is>
      </c>
      <c r="H1354" t="inlineStr">
        <is>
          <t>DP on Trees</t>
        </is>
      </c>
      <c r="I1354" t="inlineStr">
        <is>
          <t>Leetcode</t>
        </is>
      </c>
      <c r="J1354" t="inlineStr">
        <is>
          <t>Problem</t>
        </is>
      </c>
    </row>
    <row r="1355">
      <c r="A1355" t="n">
        <v>339</v>
      </c>
      <c r="B1355" t="inlineStr">
        <is>
          <t>Maximum Score After Applying Operations on a Tree</t>
        </is>
      </c>
      <c r="C1355">
        <f>HYPERLINK("https://leetcode.com/problems/maximum-score-after-applying-operations-on-a-tree/description/","maximum-score-after-applying-operations-on-a-tree")</f>
        <v/>
      </c>
      <c r="D1355" t="inlineStr">
        <is>
          <t>-</t>
        </is>
      </c>
      <c r="E1355" t="inlineStr">
        <is>
          <t>Medium</t>
        </is>
      </c>
      <c r="F1355" t="n">
        <v>25</v>
      </c>
      <c r="G1355" t="inlineStr">
        <is>
          <t>Dynamic Programming Level 2</t>
        </is>
      </c>
      <c r="H1355" t="inlineStr">
        <is>
          <t>DP on Trees</t>
        </is>
      </c>
      <c r="I1355" t="inlineStr">
        <is>
          <t>Leetcode</t>
        </is>
      </c>
      <c r="J1355" t="inlineStr">
        <is>
          <t>Problem</t>
        </is>
      </c>
    </row>
    <row r="1356">
      <c r="A1356" t="n">
        <v>1442</v>
      </c>
      <c r="B1356" t="inlineStr">
        <is>
          <t>Subordinates</t>
        </is>
      </c>
      <c r="C1356">
        <f>HYPERLINK("https://cses.fi/problemset/task/1674","Solve Problem")</f>
        <v/>
      </c>
      <c r="D1356" t="inlineStr">
        <is>
          <t>-</t>
        </is>
      </c>
      <c r="E1356" t="inlineStr">
        <is>
          <t>Medium</t>
        </is>
      </c>
      <c r="F1356" t="n">
        <v>25</v>
      </c>
      <c r="G1356" t="inlineStr">
        <is>
          <t>Dynamic Programming Level 2</t>
        </is>
      </c>
      <c r="H1356" t="inlineStr">
        <is>
          <t>DP on Trees</t>
        </is>
      </c>
      <c r="I1356" t="inlineStr">
        <is>
          <t>Cses</t>
        </is>
      </c>
      <c r="J1356" t="inlineStr">
        <is>
          <t>Problem</t>
        </is>
      </c>
    </row>
    <row r="1357">
      <c r="A1357" t="n">
        <v>1428</v>
      </c>
      <c r="B1357" t="inlineStr">
        <is>
          <t>Tree Matching</t>
        </is>
      </c>
      <c r="C1357">
        <f>HYPERLINK("https://cses.fi/problemset/task/1130","Solve Problem")</f>
        <v/>
      </c>
      <c r="D1357" t="inlineStr">
        <is>
          <t>-</t>
        </is>
      </c>
      <c r="E1357" t="inlineStr">
        <is>
          <t>Hard</t>
        </is>
      </c>
      <c r="F1357" t="n">
        <v>25</v>
      </c>
      <c r="G1357" t="inlineStr">
        <is>
          <t>Dynamic Programming Level 2</t>
        </is>
      </c>
      <c r="H1357" t="inlineStr">
        <is>
          <t>DP on Trees</t>
        </is>
      </c>
      <c r="I1357" t="inlineStr">
        <is>
          <t>Cses</t>
        </is>
      </c>
      <c r="J1357" t="inlineStr">
        <is>
          <t>Problem</t>
        </is>
      </c>
    </row>
    <row r="1358">
      <c r="A1358" t="n">
        <v>347</v>
      </c>
      <c r="B1358" t="inlineStr">
        <is>
          <t>Maximum Sum BST in Binary Tree</t>
        </is>
      </c>
      <c r="C1358">
        <f>HYPERLINK("https://leetcode.com/problems/maximum-sum-bst-in-binary-tree","maximum-sum-bst-in-binary-tree")</f>
        <v/>
      </c>
      <c r="D1358" t="inlineStr">
        <is>
          <t>-</t>
        </is>
      </c>
      <c r="E1358" t="inlineStr">
        <is>
          <t>Hard</t>
        </is>
      </c>
      <c r="F1358" t="n">
        <v>25</v>
      </c>
      <c r="G1358" t="inlineStr">
        <is>
          <t>Dynamic Programming Level 2</t>
        </is>
      </c>
      <c r="H1358" t="inlineStr">
        <is>
          <t>DP on Trees</t>
        </is>
      </c>
      <c r="I1358" t="inlineStr">
        <is>
          <t>Leetcode</t>
        </is>
      </c>
      <c r="J1358" t="inlineStr">
        <is>
          <t>Problem</t>
        </is>
      </c>
    </row>
    <row r="1359">
      <c r="A1359" t="n">
        <v>800</v>
      </c>
      <c r="B1359" t="inlineStr">
        <is>
          <t>Number of Ways to Reorder Array to Get Same BST</t>
        </is>
      </c>
      <c r="C1359">
        <f>HYPERLINK("https://leetcode.com/problems/number-of-ways-to-reorder-array-to-get-same-bst","number-of-ways-to-reorder-array-to-get-same-bst")</f>
        <v/>
      </c>
      <c r="D1359" t="inlineStr">
        <is>
          <t>-</t>
        </is>
      </c>
      <c r="E1359" t="inlineStr">
        <is>
          <t>Hard</t>
        </is>
      </c>
      <c r="F1359" t="n">
        <v>25</v>
      </c>
      <c r="G1359" t="inlineStr">
        <is>
          <t>Dynamic Programming Level 2</t>
        </is>
      </c>
      <c r="H1359" t="inlineStr">
        <is>
          <t>DP on Trees</t>
        </is>
      </c>
      <c r="I1359" t="inlineStr">
        <is>
          <t>Leetcode</t>
        </is>
      </c>
      <c r="J1359" t="inlineStr">
        <is>
          <t>Problem</t>
        </is>
      </c>
    </row>
    <row r="1360">
      <c r="A1360" t="n">
        <v>495</v>
      </c>
      <c r="B1360" t="inlineStr">
        <is>
          <t>Maximum Points After Collecting Coins From All Nodes</t>
        </is>
      </c>
      <c r="C1360">
        <f>HYPERLINK("https://leetcode.com/problems/maximum-points-after-collecting-coins-from-all-nodes/description/","maximum-points-after-collecting-coins-from-all-nodes")</f>
        <v/>
      </c>
      <c r="D1360" t="inlineStr">
        <is>
          <t>-</t>
        </is>
      </c>
      <c r="E1360" t="inlineStr">
        <is>
          <t>Hard</t>
        </is>
      </c>
      <c r="F1360" t="n">
        <v>25</v>
      </c>
      <c r="G1360" t="inlineStr">
        <is>
          <t>Dynamic Programming Level 2</t>
        </is>
      </c>
      <c r="H1360" t="inlineStr">
        <is>
          <t>DP on Trees</t>
        </is>
      </c>
      <c r="I1360" t="inlineStr">
        <is>
          <t>Leetcode</t>
        </is>
      </c>
      <c r="J1360" t="inlineStr">
        <is>
          <t>Problem</t>
        </is>
      </c>
    </row>
    <row r="1361">
      <c r="A1361" t="n">
        <v>730</v>
      </c>
      <c r="B1361" t="inlineStr">
        <is>
          <t>Sum of Distances in Tree</t>
        </is>
      </c>
      <c r="C1361">
        <f>HYPERLINK("https://leetcode.com/problems/sum-of-distances-in-tree/description/","sum-of-distances-in-tree")</f>
        <v/>
      </c>
      <c r="D1361" t="inlineStr">
        <is>
          <t>-</t>
        </is>
      </c>
      <c r="E1361" t="inlineStr">
        <is>
          <t>Hard</t>
        </is>
      </c>
      <c r="F1361" t="n">
        <v>25</v>
      </c>
      <c r="G1361" t="inlineStr">
        <is>
          <t>Dynamic Programming Level 2</t>
        </is>
      </c>
      <c r="H1361" t="inlineStr">
        <is>
          <t>DP on Trees</t>
        </is>
      </c>
      <c r="I1361" t="inlineStr">
        <is>
          <t>Leetcode</t>
        </is>
      </c>
      <c r="J1361" t="inlineStr">
        <is>
          <t>Problem</t>
        </is>
      </c>
    </row>
    <row r="1362">
      <c r="A1362" t="n">
        <v>495</v>
      </c>
      <c r="B1362" t="inlineStr">
        <is>
          <t>Maximum Points After Collecting Coins From All Nodes</t>
        </is>
      </c>
      <c r="C1362">
        <f>HYPERLINK("https://leetcode.com/problems/maximum-points-after-collecting-coins-from-all-nodes/description/","maximum-points-after-collecting-coins-from-all-nodes")</f>
        <v/>
      </c>
      <c r="D1362" t="inlineStr">
        <is>
          <t>-</t>
        </is>
      </c>
      <c r="E1362" t="inlineStr">
        <is>
          <t>Hard</t>
        </is>
      </c>
      <c r="F1362" t="n">
        <v>25</v>
      </c>
      <c r="G1362" t="inlineStr">
        <is>
          <t>Dynamic Programming Level 2</t>
        </is>
      </c>
      <c r="H1362" t="inlineStr">
        <is>
          <t>DP on Trees</t>
        </is>
      </c>
      <c r="I1362" t="inlineStr">
        <is>
          <t>Leetcode</t>
        </is>
      </c>
      <c r="J1362" t="inlineStr">
        <is>
          <t>Problem</t>
        </is>
      </c>
    </row>
    <row r="1363">
      <c r="A1363" t="n">
        <v>113</v>
      </c>
      <c r="B1363" t="inlineStr">
        <is>
          <t>Count Paths That Can Form a Palindrome in a Tree</t>
        </is>
      </c>
      <c r="C1363">
        <f>HYPERLINK("https://leetcode.com/problems/count-paths-that-can-form-a-palindrome-in-a-tree/description/","count-paths-that-can-form-a-palindrome-in-a-tree")</f>
        <v/>
      </c>
      <c r="D1363" t="inlineStr">
        <is>
          <t>-</t>
        </is>
      </c>
      <c r="E1363" t="inlineStr">
        <is>
          <t>Hard</t>
        </is>
      </c>
      <c r="F1363" t="n">
        <v>25</v>
      </c>
      <c r="G1363" t="inlineStr">
        <is>
          <t>Dynamic Programming Level 2</t>
        </is>
      </c>
      <c r="H1363" t="inlineStr">
        <is>
          <t>DP on Trees</t>
        </is>
      </c>
      <c r="I1363" t="inlineStr">
        <is>
          <t>Leetcode</t>
        </is>
      </c>
      <c r="J1363" t="inlineStr">
        <is>
          <t>Problem</t>
        </is>
      </c>
    </row>
    <row r="1364">
      <c r="A1364" t="n">
        <v>502</v>
      </c>
      <c r="B1364" t="inlineStr">
        <is>
          <t>Find Number of Coins to Place in Tree Nodes</t>
        </is>
      </c>
      <c r="C1364">
        <f>HYPERLINK("https://leetcode.com/problems/find-number-of-coins-to-place-in-tree-nodes/description/","find-number-of-coins-to-place-in-tree-nodes")</f>
        <v/>
      </c>
      <c r="D1364" t="inlineStr">
        <is>
          <t>-</t>
        </is>
      </c>
      <c r="E1364" t="inlineStr">
        <is>
          <t>Hard</t>
        </is>
      </c>
      <c r="F1364" t="n">
        <v>25</v>
      </c>
      <c r="G1364" t="inlineStr">
        <is>
          <t>Dynamic Programming Level 2</t>
        </is>
      </c>
      <c r="H1364" t="inlineStr">
        <is>
          <t>DP on Trees</t>
        </is>
      </c>
      <c r="I1364" t="inlineStr">
        <is>
          <t>Leetcode</t>
        </is>
      </c>
      <c r="J1364" t="inlineStr">
        <is>
          <t>Problem</t>
        </is>
      </c>
    </row>
    <row r="1365">
      <c r="A1365" t="n">
        <v>515</v>
      </c>
      <c r="B1365" t="inlineStr">
        <is>
          <t>Minimize the Total Price of the Trips</t>
        </is>
      </c>
      <c r="C1365">
        <f>HYPERLINK("https://leetcode.com/problems/minimize-the-total-price-of-the-trips/description/","minimize-the-total-price-of-the-trips")</f>
        <v/>
      </c>
      <c r="D1365" t="inlineStr">
        <is>
          <t>-</t>
        </is>
      </c>
      <c r="E1365" t="inlineStr">
        <is>
          <t>Hard</t>
        </is>
      </c>
      <c r="F1365" t="n">
        <v>25</v>
      </c>
      <c r="G1365" t="inlineStr">
        <is>
          <t>Dynamic Programming Level 2</t>
        </is>
      </c>
      <c r="H1365" t="inlineStr">
        <is>
          <t>DP on Trees</t>
        </is>
      </c>
      <c r="I1365" t="inlineStr">
        <is>
          <t>Leetcode</t>
        </is>
      </c>
      <c r="J1365" t="inlineStr">
        <is>
          <t>Problem</t>
        </is>
      </c>
    </row>
    <row r="1366">
      <c r="A1366" t="n">
        <v>1427</v>
      </c>
      <c r="B1366" t="inlineStr">
        <is>
          <t>Tree Distances 1</t>
        </is>
      </c>
      <c r="C1366">
        <f>HYPERLINK("https://cses.fi/problemset/task/1132","Solve Problem")</f>
        <v/>
      </c>
      <c r="D1366" t="inlineStr">
        <is>
          <t>-</t>
        </is>
      </c>
      <c r="E1366" t="inlineStr">
        <is>
          <t>Hard</t>
        </is>
      </c>
      <c r="F1366" t="n">
        <v>25</v>
      </c>
      <c r="G1366" t="inlineStr">
        <is>
          <t>Dynamic Programming Level 2</t>
        </is>
      </c>
      <c r="H1366" t="inlineStr">
        <is>
          <t>DP on Trees</t>
        </is>
      </c>
      <c r="I1366" t="inlineStr">
        <is>
          <t>Cses</t>
        </is>
      </c>
      <c r="J1366" t="inlineStr">
        <is>
          <t>Problem</t>
        </is>
      </c>
    </row>
    <row r="1367">
      <c r="A1367" t="n">
        <v>1429</v>
      </c>
      <c r="B1367" t="inlineStr">
        <is>
          <t>Tree Distances II</t>
        </is>
      </c>
      <c r="C1367">
        <f>HYPERLINK("https://cses.fi/problemset/task/1133","Solve Problem")</f>
        <v/>
      </c>
      <c r="D1367" t="inlineStr">
        <is>
          <t>-</t>
        </is>
      </c>
      <c r="E1367" t="inlineStr">
        <is>
          <t>Hard</t>
        </is>
      </c>
      <c r="F1367" t="n">
        <v>25</v>
      </c>
      <c r="G1367" t="inlineStr">
        <is>
          <t>Dynamic Programming Level 2</t>
        </is>
      </c>
      <c r="H1367" t="inlineStr">
        <is>
          <t>DP on Trees</t>
        </is>
      </c>
      <c r="I1367" t="inlineStr">
        <is>
          <t>Cses</t>
        </is>
      </c>
      <c r="J1367" t="inlineStr">
        <is>
          <t>Problem</t>
        </is>
      </c>
    </row>
    <row r="1368">
      <c r="A1368" t="n">
        <v>1439</v>
      </c>
      <c r="B1368" t="inlineStr">
        <is>
          <t>Company Queries I</t>
        </is>
      </c>
      <c r="C1368">
        <f>HYPERLINK("https://cses.fi/problemset/task/1687","Solve Problem")</f>
        <v/>
      </c>
      <c r="D1368" t="inlineStr">
        <is>
          <t>-</t>
        </is>
      </c>
      <c r="E1368" t="inlineStr">
        <is>
          <t>Hard</t>
        </is>
      </c>
      <c r="F1368" t="n">
        <v>25</v>
      </c>
      <c r="G1368" t="inlineStr">
        <is>
          <t>Dynamic Programming Level 2</t>
        </is>
      </c>
      <c r="H1368" t="inlineStr">
        <is>
          <t>DP on Trees</t>
        </is>
      </c>
      <c r="I1368" t="inlineStr">
        <is>
          <t>Cses</t>
        </is>
      </c>
      <c r="J1368" t="inlineStr">
        <is>
          <t>Problem</t>
        </is>
      </c>
    </row>
    <row r="1369">
      <c r="A1369" t="n">
        <v>1441</v>
      </c>
      <c r="B1369" t="inlineStr">
        <is>
          <t>Company Queries II</t>
        </is>
      </c>
      <c r="C1369">
        <f>HYPERLINK("https://cses.fi/problemset/task/1688","Solve Problem")</f>
        <v/>
      </c>
      <c r="D1369" t="inlineStr">
        <is>
          <t>-</t>
        </is>
      </c>
      <c r="E1369" t="inlineStr">
        <is>
          <t>Hard</t>
        </is>
      </c>
      <c r="F1369" t="n">
        <v>25</v>
      </c>
      <c r="G1369" t="inlineStr">
        <is>
          <t>Dynamic Programming Level 2</t>
        </is>
      </c>
      <c r="H1369" t="inlineStr">
        <is>
          <t>DP on Trees</t>
        </is>
      </c>
      <c r="I1369" t="inlineStr">
        <is>
          <t>Cses</t>
        </is>
      </c>
      <c r="J1369" t="inlineStr">
        <is>
          <t>Problem</t>
        </is>
      </c>
    </row>
    <row r="1370">
      <c r="A1370" t="n">
        <v>1430</v>
      </c>
      <c r="B1370" t="inlineStr">
        <is>
          <t>Distance Queries</t>
        </is>
      </c>
      <c r="C1370">
        <f>HYPERLINK("https://cses.fi/problemset/task/1135","Solve Problem")</f>
        <v/>
      </c>
      <c r="D1370" t="inlineStr">
        <is>
          <t>-</t>
        </is>
      </c>
      <c r="E1370" t="inlineStr">
        <is>
          <t>Hard</t>
        </is>
      </c>
      <c r="F1370" t="n">
        <v>25</v>
      </c>
      <c r="G1370" t="inlineStr">
        <is>
          <t>Dynamic Programming Level 2</t>
        </is>
      </c>
      <c r="H1370" t="inlineStr">
        <is>
          <t>DP on Trees</t>
        </is>
      </c>
      <c r="I1370" t="inlineStr">
        <is>
          <t>Cses</t>
        </is>
      </c>
      <c r="J1370" t="inlineStr">
        <is>
          <t>Problem</t>
        </is>
      </c>
    </row>
    <row r="1371">
      <c r="A1371" t="n">
        <v>747</v>
      </c>
      <c r="B1371" t="inlineStr">
        <is>
          <t>Time Taken to Mark All Nodes</t>
        </is>
      </c>
      <c r="C1371">
        <f>HYPERLINK("https://leetcode.com/problems/time-taken-to-mark-all-nodes/description/","time-taken-to-mark-all-nodes")</f>
        <v/>
      </c>
      <c r="D1371" t="inlineStr">
        <is>
          <t>-</t>
        </is>
      </c>
      <c r="E1371" t="inlineStr">
        <is>
          <t>Hard</t>
        </is>
      </c>
      <c r="F1371" t="n">
        <v>25</v>
      </c>
      <c r="G1371" t="inlineStr">
        <is>
          <t>Dynamic Programming Level 2</t>
        </is>
      </c>
      <c r="H1371" t="inlineStr">
        <is>
          <t>DP on Trees</t>
        </is>
      </c>
      <c r="I1371" t="inlineStr">
        <is>
          <t>Leetcode</t>
        </is>
      </c>
      <c r="J1371" t="inlineStr">
        <is>
          <t>Problem</t>
        </is>
      </c>
    </row>
    <row r="1372">
      <c r="A1372" t="n">
        <v>757</v>
      </c>
      <c r="B1372" t="inlineStr">
        <is>
          <t>Ugly Number II</t>
        </is>
      </c>
      <c r="C1372">
        <f>HYPERLINK("https://leetcode.com/problems/ugly-number-ii/","ugly-number-ii")</f>
        <v/>
      </c>
      <c r="D1372" t="inlineStr">
        <is>
          <t>-</t>
        </is>
      </c>
      <c r="E1372" t="inlineStr">
        <is>
          <t>Medium</t>
        </is>
      </c>
      <c r="F1372" t="n">
        <v>25</v>
      </c>
      <c r="G1372" t="inlineStr">
        <is>
          <t>Dynamic Programming Level 2</t>
        </is>
      </c>
      <c r="H1372" t="inlineStr">
        <is>
          <t>DP with Math</t>
        </is>
      </c>
      <c r="I1372" t="inlineStr">
        <is>
          <t>Leetcode</t>
        </is>
      </c>
      <c r="J1372" t="inlineStr">
        <is>
          <t>Problem</t>
        </is>
      </c>
    </row>
    <row r="1373">
      <c r="A1373" t="n">
        <v>115</v>
      </c>
      <c r="B1373" t="inlineStr">
        <is>
          <t>Count Sorted Vowel Strings</t>
        </is>
      </c>
      <c r="C1373">
        <f>HYPERLINK("https://leetcode.com/problems/count-sorted-vowel-strings/","count-sorted-vowel-strings")</f>
        <v/>
      </c>
      <c r="D1373" t="inlineStr">
        <is>
          <t>-</t>
        </is>
      </c>
      <c r="E1373" t="inlineStr">
        <is>
          <t>Medium</t>
        </is>
      </c>
      <c r="F1373" t="n">
        <v>25</v>
      </c>
      <c r="G1373" t="inlineStr">
        <is>
          <t>Dynamic Programming Level 2</t>
        </is>
      </c>
      <c r="H1373" t="inlineStr">
        <is>
          <t>DP with Math</t>
        </is>
      </c>
      <c r="I1373" t="inlineStr">
        <is>
          <t>Leetcode</t>
        </is>
      </c>
      <c r="J1373" t="inlineStr">
        <is>
          <t>Problem</t>
        </is>
      </c>
    </row>
    <row r="1374">
      <c r="A1374" t="n">
        <v>617</v>
      </c>
      <c r="B1374" t="inlineStr">
        <is>
          <t>Race Car</t>
        </is>
      </c>
      <c r="C1374">
        <f>HYPERLINK("https://leetcode.com/problems/race-car/","race-car")</f>
        <v/>
      </c>
      <c r="D1374" t="inlineStr">
        <is>
          <t>-</t>
        </is>
      </c>
      <c r="E1374" t="inlineStr">
        <is>
          <t>Hard</t>
        </is>
      </c>
      <c r="F1374" t="n">
        <v>25</v>
      </c>
      <c r="G1374" t="inlineStr">
        <is>
          <t>Dynamic Programming Level 2</t>
        </is>
      </c>
      <c r="H1374" t="inlineStr">
        <is>
          <t>DP with Math</t>
        </is>
      </c>
      <c r="I1374" t="inlineStr">
        <is>
          <t>Leetcode</t>
        </is>
      </c>
      <c r="J1374" t="inlineStr">
        <is>
          <t>Problem</t>
        </is>
      </c>
    </row>
    <row r="1375">
      <c r="A1375" t="n">
        <v>736</v>
      </c>
      <c r="B1375" t="inlineStr">
        <is>
          <t>Super Egg Drop</t>
        </is>
      </c>
      <c r="C1375">
        <f>HYPERLINK("https://leetcode.com/problems/super-egg-drop/","super-egg-drop")</f>
        <v/>
      </c>
      <c r="D1375" t="inlineStr">
        <is>
          <t>-</t>
        </is>
      </c>
      <c r="E1375" t="inlineStr">
        <is>
          <t>Hard</t>
        </is>
      </c>
      <c r="F1375" t="n">
        <v>25</v>
      </c>
      <c r="G1375" t="inlineStr">
        <is>
          <t>Dynamic Programming Level 2</t>
        </is>
      </c>
      <c r="H1375" t="inlineStr">
        <is>
          <t>DP with Math</t>
        </is>
      </c>
      <c r="I1375" t="inlineStr">
        <is>
          <t>Leetcode</t>
        </is>
      </c>
      <c r="J1375" t="inlineStr">
        <is>
          <t>Problem</t>
        </is>
      </c>
    </row>
    <row r="1376">
      <c r="A1376" t="n">
        <v>789</v>
      </c>
      <c r="B1376" t="inlineStr">
        <is>
          <t>Least Operators to Express Number</t>
        </is>
      </c>
      <c r="C1376">
        <f>HYPERLINK("https://leetcode.com/problems/least-operators-to-express-number/","least-operators-to-express-number")</f>
        <v/>
      </c>
      <c r="D1376" t="inlineStr">
        <is>
          <t>-</t>
        </is>
      </c>
      <c r="E1376" t="inlineStr">
        <is>
          <t>Hard</t>
        </is>
      </c>
      <c r="F1376" t="n">
        <v>25</v>
      </c>
      <c r="G1376" t="inlineStr">
        <is>
          <t>Dynamic Programming Level 2</t>
        </is>
      </c>
      <c r="H1376" t="inlineStr">
        <is>
          <t>DP with Math</t>
        </is>
      </c>
      <c r="I1376" t="inlineStr">
        <is>
          <t>Leetcode</t>
        </is>
      </c>
      <c r="J1376" t="inlineStr">
        <is>
          <t>Problem</t>
        </is>
      </c>
    </row>
    <row r="1377">
      <c r="A1377" t="n">
        <v>872</v>
      </c>
      <c r="B1377" t="inlineStr">
        <is>
          <t>Largest Multiple of Three</t>
        </is>
      </c>
      <c r="C1377">
        <f>HYPERLINK("https://leetcode.com/problems/largest-multiple-of-three/","largest-multiple-of-three")</f>
        <v/>
      </c>
      <c r="D1377" t="inlineStr">
        <is>
          <t>-</t>
        </is>
      </c>
      <c r="E1377" t="inlineStr">
        <is>
          <t>Hard</t>
        </is>
      </c>
      <c r="F1377" t="n">
        <v>25</v>
      </c>
      <c r="G1377" t="inlineStr">
        <is>
          <t>Dynamic Programming Level 2</t>
        </is>
      </c>
      <c r="H1377" t="inlineStr">
        <is>
          <t>DP with Math</t>
        </is>
      </c>
      <c r="I1377" t="inlineStr">
        <is>
          <t>Leetcode</t>
        </is>
      </c>
      <c r="J1377" t="inlineStr">
        <is>
          <t>Problem</t>
        </is>
      </c>
    </row>
    <row r="1378">
      <c r="A1378" t="n">
        <v>478</v>
      </c>
      <c r="B1378" t="inlineStr">
        <is>
          <t>Kth Smallest Instructions</t>
        </is>
      </c>
      <c r="C1378">
        <f>HYPERLINK("https://leetcode.com/problems/kth-smallest-instructions/","kth-smallest-instructions")</f>
        <v/>
      </c>
      <c r="D1378" t="inlineStr">
        <is>
          <t>-</t>
        </is>
      </c>
      <c r="E1378" t="inlineStr">
        <is>
          <t>Hard</t>
        </is>
      </c>
      <c r="F1378" t="n">
        <v>25</v>
      </c>
      <c r="G1378" t="inlineStr">
        <is>
          <t>Dynamic Programming Level 2</t>
        </is>
      </c>
      <c r="H1378" t="inlineStr">
        <is>
          <t>DP with Math</t>
        </is>
      </c>
      <c r="I1378" t="inlineStr">
        <is>
          <t>Leetcode</t>
        </is>
      </c>
      <c r="J1378" t="inlineStr">
        <is>
          <t>Problem</t>
        </is>
      </c>
    </row>
    <row r="1379">
      <c r="A1379" t="n">
        <v>564</v>
      </c>
      <c r="B1379" t="inlineStr">
        <is>
          <t>Number of Sets of K Non-Overlapping Line Segments</t>
        </is>
      </c>
      <c r="C1379">
        <f>HYPERLINK("https://leetcode.com/problems/number-of-sets-of-k-non-overlapping-line-segments/","number-of-sets-of-k-non-overlapping-line-segments")</f>
        <v/>
      </c>
      <c r="D1379" t="inlineStr">
        <is>
          <t>-</t>
        </is>
      </c>
      <c r="E1379" t="inlineStr">
        <is>
          <t>Medium</t>
        </is>
      </c>
      <c r="F1379" t="n">
        <v>25</v>
      </c>
      <c r="G1379" t="inlineStr">
        <is>
          <t>Dynamic Programming Level 2</t>
        </is>
      </c>
      <c r="H1379" t="inlineStr">
        <is>
          <t>DP with Math</t>
        </is>
      </c>
      <c r="I1379" t="inlineStr">
        <is>
          <t>Leetcode</t>
        </is>
      </c>
      <c r="J1379" t="inlineStr">
        <is>
          <t>Problem</t>
        </is>
      </c>
    </row>
    <row r="1380">
      <c r="A1380" t="n">
        <v>150</v>
      </c>
      <c r="B1380" t="inlineStr">
        <is>
          <t>Domino and Tromino Tiling</t>
        </is>
      </c>
      <c r="C1380">
        <f>HYPERLINK("https://leetcode.com/problems/domino-and-tromino-tiling/","domino-and-tromino-tiling")</f>
        <v/>
      </c>
      <c r="D1380" t="inlineStr">
        <is>
          <t>-</t>
        </is>
      </c>
      <c r="E1380" t="inlineStr">
        <is>
          <t>Medium</t>
        </is>
      </c>
      <c r="F1380" t="n">
        <v>25</v>
      </c>
      <c r="G1380" t="inlineStr">
        <is>
          <t>Dynamic Programming Level 2</t>
        </is>
      </c>
      <c r="H1380" t="inlineStr">
        <is>
          <t>DP with Math</t>
        </is>
      </c>
      <c r="I1380" t="inlineStr">
        <is>
          <t>Leetcode</t>
        </is>
      </c>
      <c r="J1380" t="inlineStr">
        <is>
          <t>Problem</t>
        </is>
      </c>
    </row>
    <row r="1381">
      <c r="A1381" t="n">
        <v>109</v>
      </c>
      <c r="B1381" t="inlineStr">
        <is>
          <t>Count Numbers with Unique Digits</t>
        </is>
      </c>
      <c r="C1381">
        <f>HYPERLINK("https://leetcode.com/problems/count-numbers-with-unique-digits/","count-numbers-with-unique-digits")</f>
        <v/>
      </c>
      <c r="D1381" t="inlineStr">
        <is>
          <t>-</t>
        </is>
      </c>
      <c r="E1381" t="inlineStr">
        <is>
          <t>Medium</t>
        </is>
      </c>
      <c r="F1381" t="n">
        <v>25</v>
      </c>
      <c r="G1381" t="inlineStr">
        <is>
          <t>Dynamic Programming Level 2</t>
        </is>
      </c>
      <c r="H1381" t="inlineStr">
        <is>
          <t>DP with Math</t>
        </is>
      </c>
      <c r="I1381" t="inlineStr">
        <is>
          <t>Leetcode</t>
        </is>
      </c>
      <c r="J1381" t="inlineStr">
        <is>
          <t>Problem</t>
        </is>
      </c>
    </row>
    <row r="1382">
      <c r="A1382" t="n">
        <v>797</v>
      </c>
      <c r="B1382" t="inlineStr">
        <is>
          <t>Minimum One Bit Operations to Make Integers Zero</t>
        </is>
      </c>
      <c r="C1382">
        <f>HYPERLINK("https://leetcode.com/problems/minimum-one-bit-operations-to-make-integers-zero/","minimum-one-bit-operations-to-make-integers-zero")</f>
        <v/>
      </c>
      <c r="D1382" t="inlineStr">
        <is>
          <t>-</t>
        </is>
      </c>
      <c r="E1382" t="inlineStr">
        <is>
          <t>Hard</t>
        </is>
      </c>
      <c r="F1382" t="n">
        <v>25</v>
      </c>
      <c r="G1382" t="inlineStr">
        <is>
          <t>Dynamic Programming Level 2</t>
        </is>
      </c>
      <c r="H1382" t="inlineStr">
        <is>
          <t>DP with Math</t>
        </is>
      </c>
      <c r="I1382" t="inlineStr">
        <is>
          <t>Leetcode</t>
        </is>
      </c>
      <c r="J1382" t="inlineStr">
        <is>
          <t>Problem</t>
        </is>
      </c>
    </row>
    <row r="1383">
      <c r="A1383" t="n">
        <v>163</v>
      </c>
      <c r="B1383" t="inlineStr">
        <is>
          <t>Find All Possible Stable Binary Arrays II</t>
        </is>
      </c>
      <c r="C1383">
        <f>HYPERLINK("https://leetcode.com/problems/find-all-possible-stable-binary-arrays-ii/description/","find-all-possible-stable-binary-arrays-ii")</f>
        <v/>
      </c>
      <c r="D1383" t="inlineStr">
        <is>
          <t>-</t>
        </is>
      </c>
      <c r="E1383" t="inlineStr">
        <is>
          <t>Hard</t>
        </is>
      </c>
      <c r="F1383" t="n">
        <v>25</v>
      </c>
      <c r="G1383" t="inlineStr">
        <is>
          <t>Dynamic Programming Level 2</t>
        </is>
      </c>
      <c r="H1383" t="inlineStr">
        <is>
          <t>DP with Math</t>
        </is>
      </c>
      <c r="I1383" t="inlineStr">
        <is>
          <t>Leetcode</t>
        </is>
      </c>
      <c r="J1383" t="inlineStr">
        <is>
          <t>Problem</t>
        </is>
      </c>
    </row>
    <row r="1384">
      <c r="A1384" t="n">
        <v>1443</v>
      </c>
      <c r="B1384" t="inlineStr">
        <is>
          <t>Counting Tilings</t>
        </is>
      </c>
      <c r="C1384">
        <f>HYPERLINK("https://cses.fi/problemset/task/2181","Solve Problem")</f>
        <v/>
      </c>
      <c r="D1384" t="inlineStr">
        <is>
          <t>-</t>
        </is>
      </c>
      <c r="E1384" t="inlineStr">
        <is>
          <t>Hard</t>
        </is>
      </c>
      <c r="F1384" t="n">
        <v>25</v>
      </c>
      <c r="G1384" t="inlineStr">
        <is>
          <t>Dynamic Programming Level 2</t>
        </is>
      </c>
      <c r="H1384" t="inlineStr">
        <is>
          <t>DP with Math</t>
        </is>
      </c>
      <c r="I1384" t="inlineStr">
        <is>
          <t>Cses</t>
        </is>
      </c>
      <c r="J1384" t="inlineStr">
        <is>
          <t>Problem</t>
        </is>
      </c>
    </row>
    <row r="1385">
      <c r="A1385" t="n">
        <v>813</v>
      </c>
      <c r="B1385" t="inlineStr">
        <is>
          <t>Soup Servings</t>
        </is>
      </c>
      <c r="C1385">
        <f>HYPERLINK("https://leetcode.com/problems/soup-servings/","soup-servings")</f>
        <v/>
      </c>
      <c r="D1385" t="inlineStr">
        <is>
          <t>-</t>
        </is>
      </c>
      <c r="E1385" t="inlineStr">
        <is>
          <t>Medium</t>
        </is>
      </c>
      <c r="F1385" t="n">
        <v>25</v>
      </c>
      <c r="G1385" t="inlineStr">
        <is>
          <t>Dynamic Programming Level 2</t>
        </is>
      </c>
      <c r="H1385" t="inlineStr">
        <is>
          <t>Dp with Probability</t>
        </is>
      </c>
      <c r="I1385" t="inlineStr">
        <is>
          <t>Leetcode</t>
        </is>
      </c>
      <c r="J1385" t="inlineStr">
        <is>
          <t>Problem</t>
        </is>
      </c>
    </row>
    <row r="1386">
      <c r="A1386" t="n">
        <v>544</v>
      </c>
      <c r="B1386" t="inlineStr">
        <is>
          <t>New 21 Game</t>
        </is>
      </c>
      <c r="C1386">
        <f>HYPERLINK("https://leetcode.com/problems/new-21-game/","new-21-game")</f>
        <v/>
      </c>
      <c r="D1386" t="inlineStr">
        <is>
          <t>-</t>
        </is>
      </c>
      <c r="E1386" t="inlineStr">
        <is>
          <t>Medium</t>
        </is>
      </c>
      <c r="F1386" t="n">
        <v>25</v>
      </c>
      <c r="G1386" t="inlineStr">
        <is>
          <t>Dynamic Programming Level 2</t>
        </is>
      </c>
      <c r="H1386" t="inlineStr">
        <is>
          <t>Dp with Probability</t>
        </is>
      </c>
      <c r="I1386" t="inlineStr">
        <is>
          <t>Leetcode</t>
        </is>
      </c>
      <c r="J1386" t="inlineStr">
        <is>
          <t>Problem</t>
        </is>
      </c>
    </row>
    <row r="1387">
      <c r="A1387" t="n">
        <v>31</v>
      </c>
      <c r="B1387" t="inlineStr">
        <is>
          <t>Airplane Seat Assignment Probability</t>
        </is>
      </c>
      <c r="C1387">
        <f>HYPERLINK("https://leetcode.com/problems/airplane-seat-assignment-probability/","airplane-seat-assignment-probability")</f>
        <v/>
      </c>
      <c r="D1387" t="inlineStr">
        <is>
          <t>-</t>
        </is>
      </c>
      <c r="E1387" t="inlineStr">
        <is>
          <t>Medium</t>
        </is>
      </c>
      <c r="F1387" t="n">
        <v>25</v>
      </c>
      <c r="G1387" t="inlineStr">
        <is>
          <t>Dynamic Programming Level 2</t>
        </is>
      </c>
      <c r="H1387" t="inlineStr">
        <is>
          <t>Dp with Probability</t>
        </is>
      </c>
      <c r="I1387" t="inlineStr">
        <is>
          <t>Leetcode</t>
        </is>
      </c>
      <c r="J1387" t="inlineStr">
        <is>
          <t>Problem</t>
        </is>
      </c>
    </row>
    <row r="1388">
      <c r="A1388" t="n">
        <v>505</v>
      </c>
      <c r="B1388" t="inlineStr">
        <is>
          <t>Knight Probability in Chessboard</t>
        </is>
      </c>
      <c r="C1388">
        <f>HYPERLINK("https://leetcode.com/problems/knight-probability-in-chessboard/","knight-probability-in-chessboard")</f>
        <v/>
      </c>
      <c r="D1388" t="inlineStr">
        <is>
          <t>-</t>
        </is>
      </c>
      <c r="E1388" t="inlineStr">
        <is>
          <t>Medium</t>
        </is>
      </c>
      <c r="F1388" t="n">
        <v>25</v>
      </c>
      <c r="G1388" t="inlineStr">
        <is>
          <t>Dynamic Programming Level 2</t>
        </is>
      </c>
      <c r="H1388" t="inlineStr">
        <is>
          <t>Dp with Probability</t>
        </is>
      </c>
      <c r="I1388" t="inlineStr">
        <is>
          <t>Leetcode</t>
        </is>
      </c>
      <c r="J1388" t="inlineStr">
        <is>
          <t>Problem</t>
        </is>
      </c>
    </row>
    <row r="1389">
      <c r="A1389" t="n">
        <v>426</v>
      </c>
      <c r="B1389" t="inlineStr">
        <is>
          <t>Champagne Tower</t>
        </is>
      </c>
      <c r="C1389">
        <f>HYPERLINK("https://leetcode.com/problems/champagne-tower/","champagne-tower")</f>
        <v/>
      </c>
      <c r="D1389" t="inlineStr">
        <is>
          <t>-</t>
        </is>
      </c>
      <c r="E1389" t="inlineStr">
        <is>
          <t>Medium</t>
        </is>
      </c>
      <c r="F1389" t="n">
        <v>25</v>
      </c>
      <c r="G1389" t="inlineStr">
        <is>
          <t>Dynamic Programming Level 2</t>
        </is>
      </c>
      <c r="H1389" t="inlineStr">
        <is>
          <t>Dp with Probability</t>
        </is>
      </c>
      <c r="I1389" t="inlineStr">
        <is>
          <t>Leetcode</t>
        </is>
      </c>
      <c r="J1389" t="inlineStr">
        <is>
          <t>Problem</t>
        </is>
      </c>
    </row>
    <row r="1390">
      <c r="A1390" t="n">
        <v>1395</v>
      </c>
      <c r="B1390" t="inlineStr">
        <is>
          <t>Sushi</t>
        </is>
      </c>
      <c r="C1390">
        <f>HYPERLINK("https://atcoder.jp/contests/dp/tasks/dp_j","Solve Problem")</f>
        <v/>
      </c>
      <c r="D1390" t="inlineStr">
        <is>
          <t>-</t>
        </is>
      </c>
      <c r="E1390" t="inlineStr">
        <is>
          <t>Hard</t>
        </is>
      </c>
      <c r="F1390" t="n">
        <v>25</v>
      </c>
      <c r="G1390" t="inlineStr">
        <is>
          <t>Dynamic Programming Level 2</t>
        </is>
      </c>
      <c r="H1390" t="inlineStr">
        <is>
          <t>Dp with Probability</t>
        </is>
      </c>
      <c r="I1390" t="inlineStr">
        <is>
          <t>Atcoder</t>
        </is>
      </c>
      <c r="J1390" t="inlineStr">
        <is>
          <t>Problem</t>
        </is>
      </c>
    </row>
    <row r="1391">
      <c r="A1391" t="n">
        <v>1377</v>
      </c>
      <c r="B1391" t="inlineStr">
        <is>
          <t>Coins</t>
        </is>
      </c>
      <c r="C1391">
        <f>HYPERLINK("https://atcoder.jp/contests/dp/tasks/dp_i","Solve Problem")</f>
        <v/>
      </c>
      <c r="D1391" t="inlineStr">
        <is>
          <t>-</t>
        </is>
      </c>
      <c r="E1391" t="inlineStr">
        <is>
          <t>Hard</t>
        </is>
      </c>
      <c r="F1391" t="n">
        <v>25</v>
      </c>
      <c r="G1391" t="inlineStr">
        <is>
          <t>Dynamic Programming Level 2</t>
        </is>
      </c>
      <c r="H1391" t="inlineStr">
        <is>
          <t>Dp with Probability</t>
        </is>
      </c>
      <c r="I1391" t="inlineStr">
        <is>
          <t>Atcoder</t>
        </is>
      </c>
      <c r="J1391" t="inlineStr">
        <is>
          <t>Problem</t>
        </is>
      </c>
    </row>
    <row r="1392">
      <c r="A1392" t="n">
        <v>610</v>
      </c>
      <c r="B1392" t="inlineStr">
        <is>
          <t>Probability of a Two Boxes Having the Same Number of Distinct Balls</t>
        </is>
      </c>
      <c r="C1392">
        <f>HYPERLINK("https://leetcode.com/problems/probability-of-a-two-boxes-having-the-same-number-of-distinct-balls/description/","probability-of-a-two-boxes-having-the-same-number-of-distinct-balls")</f>
        <v/>
      </c>
      <c r="D1392" t="inlineStr">
        <is>
          <t>-</t>
        </is>
      </c>
      <c r="E1392" t="inlineStr">
        <is>
          <t>Hard</t>
        </is>
      </c>
      <c r="F1392" t="n">
        <v>25</v>
      </c>
      <c r="G1392" t="inlineStr">
        <is>
          <t>Dynamic Programming Level 2</t>
        </is>
      </c>
      <c r="H1392" t="inlineStr">
        <is>
          <t>Dp with Probability</t>
        </is>
      </c>
      <c r="I1392" t="inlineStr">
        <is>
          <t>Leetcode</t>
        </is>
      </c>
      <c r="J1392" t="inlineStr">
        <is>
          <t>Problem</t>
        </is>
      </c>
    </row>
    <row r="1393">
      <c r="A1393" t="n">
        <v>1392</v>
      </c>
      <c r="B1393" t="inlineStr">
        <is>
          <t>KMP Algorithm for Pattern Searching</t>
        </is>
      </c>
      <c r="C1393">
        <f>HYPERLINK("https://www.geeksforgeeks.org/kmp-algorithm-for-pattern-searching/","Solve Problem")</f>
        <v/>
      </c>
      <c r="D1393" t="inlineStr">
        <is>
          <t>-</t>
        </is>
      </c>
      <c r="E1393" t="inlineStr">
        <is>
          <t>Theory</t>
        </is>
      </c>
      <c r="F1393" t="n">
        <v>26</v>
      </c>
      <c r="G1393" t="inlineStr">
        <is>
          <t>String Matching Algos</t>
        </is>
      </c>
      <c r="H1393" t="inlineStr">
        <is>
          <t>Introduction</t>
        </is>
      </c>
      <c r="I1393" t="inlineStr">
        <is>
          <t>Geeksforgeeks</t>
        </is>
      </c>
      <c r="J1393" t="inlineStr">
        <is>
          <t>Lesson</t>
        </is>
      </c>
    </row>
    <row r="1394">
      <c r="A1394" t="n">
        <v>1393</v>
      </c>
      <c r="B1394" t="inlineStr">
        <is>
          <t>Rabin-Karp Algorithm for Pattern Searching</t>
        </is>
      </c>
      <c r="C1394">
        <f>HYPERLINK("https://www.geeksforgeeks.org/rabin-karp-algorithm-for-pattern-searching/","Solve Problem")</f>
        <v/>
      </c>
      <c r="D1394" t="inlineStr">
        <is>
          <t>-</t>
        </is>
      </c>
      <c r="E1394" t="inlineStr">
        <is>
          <t>Theory</t>
        </is>
      </c>
      <c r="F1394" t="n">
        <v>26</v>
      </c>
      <c r="G1394" t="inlineStr">
        <is>
          <t>String Matching Algos</t>
        </is>
      </c>
      <c r="H1394" t="inlineStr">
        <is>
          <t>Introduction</t>
        </is>
      </c>
      <c r="I1394" t="inlineStr">
        <is>
          <t>Geeksforgeeks</t>
        </is>
      </c>
      <c r="J1394" t="inlineStr">
        <is>
          <t>Lesson</t>
        </is>
      </c>
    </row>
    <row r="1395">
      <c r="A1395" t="n">
        <v>1394</v>
      </c>
      <c r="B1395" t="inlineStr">
        <is>
          <t>Z Algorithm (Linear-Time Pattern Searching Algorithm)</t>
        </is>
      </c>
      <c r="C1395">
        <f>HYPERLINK("https://www.geeksforgeeks.org/z-algorithm-linear-time-pattern-searching-algorithm/","Solve Problem")</f>
        <v/>
      </c>
      <c r="D1395" t="inlineStr">
        <is>
          <t>-</t>
        </is>
      </c>
      <c r="E1395" t="inlineStr">
        <is>
          <t>Theory</t>
        </is>
      </c>
      <c r="F1395" t="n">
        <v>26</v>
      </c>
      <c r="G1395" t="inlineStr">
        <is>
          <t>String Matching Algos</t>
        </is>
      </c>
      <c r="H1395" t="inlineStr">
        <is>
          <t>Introduction</t>
        </is>
      </c>
      <c r="I1395" t="inlineStr">
        <is>
          <t>Geeksforgeeks</t>
        </is>
      </c>
      <c r="J1395" t="inlineStr">
        <is>
          <t>Lesson</t>
        </is>
      </c>
    </row>
    <row r="1396">
      <c r="A1396" t="n">
        <v>114</v>
      </c>
      <c r="B1396" t="inlineStr">
        <is>
          <t>Count Prefix and Suffix Pairs II</t>
        </is>
      </c>
      <c r="C1396">
        <f>HYPERLINK("https://leetcode.com/problems/count-prefix-and-suffix-pairs-ii/description/","count-prefix-and-suffix-pairs-ii")</f>
        <v/>
      </c>
      <c r="D1396" t="inlineStr">
        <is>
          <t>-</t>
        </is>
      </c>
      <c r="E1396" t="inlineStr">
        <is>
          <t>Hard</t>
        </is>
      </c>
      <c r="F1396" t="n">
        <v>26</v>
      </c>
      <c r="G1396" t="inlineStr">
        <is>
          <t>String Matching Algos</t>
        </is>
      </c>
      <c r="H1396" t="inlineStr">
        <is>
          <t>Implementary Problems</t>
        </is>
      </c>
      <c r="I1396" t="inlineStr">
        <is>
          <t>Leetcode</t>
        </is>
      </c>
      <c r="J1396" t="inlineStr">
        <is>
          <t>Problem</t>
        </is>
      </c>
    </row>
    <row r="1397">
      <c r="A1397" t="n">
        <v>567</v>
      </c>
      <c r="B1397" t="inlineStr">
        <is>
          <t>Number of Subarrays That Match a Pattern II</t>
        </is>
      </c>
      <c r="C1397">
        <f>HYPERLINK("https://leetcode.com/problems/number-of-subarrays-that-match-a-pattern-ii/description/","number-of-subarrays-that-match-a-pattern-ii")</f>
        <v/>
      </c>
      <c r="D1397" t="inlineStr">
        <is>
          <t>-</t>
        </is>
      </c>
      <c r="E1397" t="inlineStr">
        <is>
          <t>Hard</t>
        </is>
      </c>
      <c r="F1397" t="n">
        <v>26</v>
      </c>
      <c r="G1397" t="inlineStr">
        <is>
          <t>String Matching Algos</t>
        </is>
      </c>
      <c r="H1397" t="inlineStr">
        <is>
          <t>Implementary Problems</t>
        </is>
      </c>
      <c r="I1397" t="inlineStr">
        <is>
          <t>Leetcode</t>
        </is>
      </c>
      <c r="J1397" t="inlineStr">
        <is>
          <t>Problem</t>
        </is>
      </c>
    </row>
    <row r="1398">
      <c r="A1398" t="n">
        <v>529</v>
      </c>
      <c r="B1398" t="inlineStr">
        <is>
          <t>Minimum Time to Revert Word to Initial State II</t>
        </is>
      </c>
      <c r="C1398">
        <f>HYPERLINK("https://leetcode.com/problems/minimum-time-to-revert-word-to-initial-state-ii/description/","minimum-time-to-revert-word-to-initial-state-ii")</f>
        <v/>
      </c>
      <c r="D1398" t="inlineStr">
        <is>
          <t>-</t>
        </is>
      </c>
      <c r="E1398" t="inlineStr">
        <is>
          <t>Hard</t>
        </is>
      </c>
      <c r="F1398" t="n">
        <v>26</v>
      </c>
      <c r="G1398" t="inlineStr">
        <is>
          <t>String Matching Algos</t>
        </is>
      </c>
      <c r="H1398" t="inlineStr">
        <is>
          <t>Implementary Problems</t>
        </is>
      </c>
      <c r="I1398" t="inlineStr">
        <is>
          <t>Leetcode</t>
        </is>
      </c>
      <c r="J1398" t="inlineStr">
        <is>
          <t>Problem</t>
        </is>
      </c>
    </row>
    <row r="1399">
      <c r="A1399" t="n">
        <v>283</v>
      </c>
      <c r="B1399" t="inlineStr">
        <is>
          <t>Find Beautiful Indices in the Given Array II</t>
        </is>
      </c>
      <c r="C1399">
        <f>HYPERLINK("https://leetcode.com/problems/find-beautiful-indices-in-the-given-array-ii/description/","find-beautiful-indices-in-the-given-array-ii")</f>
        <v/>
      </c>
      <c r="D1399" t="inlineStr">
        <is>
          <t>-</t>
        </is>
      </c>
      <c r="E1399" t="inlineStr">
        <is>
          <t>Hard</t>
        </is>
      </c>
      <c r="F1399" t="n">
        <v>26</v>
      </c>
      <c r="G1399" t="inlineStr">
        <is>
          <t>String Matching Algos</t>
        </is>
      </c>
      <c r="H1399" t="inlineStr">
        <is>
          <t>Implementary Problems</t>
        </is>
      </c>
      <c r="I1399" t="inlineStr">
        <is>
          <t>Leetcode</t>
        </is>
      </c>
      <c r="J1399" t="inlineStr">
        <is>
          <t>Problem</t>
        </is>
      </c>
    </row>
    <row r="1400">
      <c r="A1400" t="n">
        <v>862</v>
      </c>
      <c r="B1400" t="inlineStr">
        <is>
          <t>String Transformation</t>
        </is>
      </c>
      <c r="C1400">
        <f>HYPERLINK("https://leetcode.com/problems/string-transformation/description/","string-transformation")</f>
        <v/>
      </c>
      <c r="D1400" t="inlineStr">
        <is>
          <t>-</t>
        </is>
      </c>
      <c r="E1400" t="inlineStr">
        <is>
          <t>Hard</t>
        </is>
      </c>
      <c r="F1400" t="n">
        <v>26</v>
      </c>
      <c r="G1400" t="inlineStr">
        <is>
          <t>String Matching Algos</t>
        </is>
      </c>
      <c r="H1400" t="inlineStr">
        <is>
          <t>Implementary Problems</t>
        </is>
      </c>
      <c r="I1400" t="inlineStr">
        <is>
          <t>Leetcode</t>
        </is>
      </c>
      <c r="J1400" t="inlineStr">
        <is>
          <t>Problem</t>
        </is>
      </c>
    </row>
    <row r="1401">
      <c r="A1401" t="n">
        <v>465</v>
      </c>
      <c r="B1401" t="inlineStr">
        <is>
          <t>Find Substring with Given Hash Value</t>
        </is>
      </c>
      <c r="C1401">
        <f>HYPERLINK("https://leetcode.com/problems/find-substring-with-given-hash-value","find-substring-with-given-hash-value")</f>
        <v/>
      </c>
      <c r="D1401" t="inlineStr">
        <is>
          <t>-</t>
        </is>
      </c>
      <c r="E1401" t="inlineStr">
        <is>
          <t>Hard</t>
        </is>
      </c>
      <c r="F1401" t="n">
        <v>26</v>
      </c>
      <c r="G1401" t="inlineStr">
        <is>
          <t>String Matching Algos</t>
        </is>
      </c>
      <c r="H1401" t="inlineStr">
        <is>
          <t>Implementary Problems</t>
        </is>
      </c>
      <c r="I1401" t="inlineStr">
        <is>
          <t>Leetcode</t>
        </is>
      </c>
      <c r="J1401" t="inlineStr">
        <is>
          <t>Problem</t>
        </is>
      </c>
    </row>
    <row r="1402">
      <c r="A1402" t="n">
        <v>315</v>
      </c>
      <c r="B1402" t="inlineStr">
        <is>
          <t>Maximum Deletions on a String</t>
        </is>
      </c>
      <c r="C1402">
        <f>HYPERLINK("https://leetcode.com/problems/maximum-deletions-on-a-string/description/","maximum-deletions-on-a-string")</f>
        <v/>
      </c>
      <c r="D1402" t="inlineStr">
        <is>
          <t>-</t>
        </is>
      </c>
      <c r="E1402" t="inlineStr">
        <is>
          <t>Hard</t>
        </is>
      </c>
      <c r="F1402" t="n">
        <v>26</v>
      </c>
      <c r="G1402" t="inlineStr">
        <is>
          <t>String Matching Algos</t>
        </is>
      </c>
      <c r="H1402" t="inlineStr">
        <is>
          <t>Implementary Problems</t>
        </is>
      </c>
      <c r="I1402" t="inlineStr">
        <is>
          <t>Leetcode</t>
        </is>
      </c>
      <c r="J1402" t="inlineStr">
        <is>
          <t>Problem</t>
        </is>
      </c>
    </row>
    <row r="1403">
      <c r="A1403" t="n">
        <v>296</v>
      </c>
      <c r="B1403" t="inlineStr">
        <is>
          <t>Match Substring After Replacement</t>
        </is>
      </c>
      <c r="C1403">
        <f>HYPERLINK("https://leetcode.com/problems/match-substring-after-replacement/description/","match-substring-after-replacement")</f>
        <v/>
      </c>
      <c r="D1403" t="inlineStr">
        <is>
          <t>-</t>
        </is>
      </c>
      <c r="E1403" t="inlineStr">
        <is>
          <t>Hard</t>
        </is>
      </c>
      <c r="F1403" t="n">
        <v>26</v>
      </c>
      <c r="G1403" t="inlineStr">
        <is>
          <t>String Matching Algos</t>
        </is>
      </c>
      <c r="H1403" t="inlineStr">
        <is>
          <t>Implementary Problems</t>
        </is>
      </c>
      <c r="I1403" t="inlineStr">
        <is>
          <t>Leetcode</t>
        </is>
      </c>
      <c r="J1403" t="inlineStr">
        <is>
          <t>Problem</t>
        </is>
      </c>
    </row>
    <row r="1404">
      <c r="A1404" t="n">
        <v>732</v>
      </c>
      <c r="B1404" t="inlineStr">
        <is>
          <t>Sum of Scores of Built Strings</t>
        </is>
      </c>
      <c r="C1404">
        <f>HYPERLINK("https://leetcode.com/problems/sum-of-scores-of-built-strings/description/","sum-of-scores-of-built-strings")</f>
        <v/>
      </c>
      <c r="D1404" t="inlineStr">
        <is>
          <t>-</t>
        </is>
      </c>
      <c r="E1404" t="inlineStr">
        <is>
          <t>Hard</t>
        </is>
      </c>
      <c r="F1404" t="n">
        <v>26</v>
      </c>
      <c r="G1404" t="inlineStr">
        <is>
          <t>String Matching Algos</t>
        </is>
      </c>
      <c r="H1404" t="inlineStr">
        <is>
          <t>Implementary Problems</t>
        </is>
      </c>
      <c r="I1404" t="inlineStr">
        <is>
          <t>Leetcode</t>
        </is>
      </c>
      <c r="J1404" t="inlineStr">
        <is>
          <t>Problem</t>
        </is>
      </c>
    </row>
    <row r="1405">
      <c r="A1405" t="n">
        <v>160</v>
      </c>
      <c r="B1405" t="inlineStr">
        <is>
          <t>Find All Good Strings</t>
        </is>
      </c>
      <c r="C1405">
        <f>HYPERLINK("https://leetcode.com/problems/find-all-good-strings/description/","find-all-good-strings")</f>
        <v/>
      </c>
      <c r="D1405" t="inlineStr">
        <is>
          <t>-</t>
        </is>
      </c>
      <c r="E1405" t="inlineStr">
        <is>
          <t>Hard</t>
        </is>
      </c>
      <c r="F1405" t="n">
        <v>26</v>
      </c>
      <c r="G1405" t="inlineStr">
        <is>
          <t>String Matching Algos</t>
        </is>
      </c>
      <c r="H1405" t="inlineStr">
        <is>
          <t>Implementary Problems</t>
        </is>
      </c>
      <c r="I1405" t="inlineStr">
        <is>
          <t>Leetcode</t>
        </is>
      </c>
      <c r="J1405" t="inlineStr">
        <is>
          <t>Problem</t>
        </is>
      </c>
    </row>
    <row r="1406">
      <c r="A1406" t="n">
        <v>259</v>
      </c>
      <c r="B1406" t="inlineStr">
        <is>
          <t>Longest Happy Prefix</t>
        </is>
      </c>
      <c r="C1406">
        <f>HYPERLINK("https://leetcode.com/problems/longest-happy-prefix/description/","longest-happy-prefix")</f>
        <v/>
      </c>
      <c r="D1406" t="inlineStr">
        <is>
          <t>-</t>
        </is>
      </c>
      <c r="E1406" t="inlineStr">
        <is>
          <t>Hard</t>
        </is>
      </c>
      <c r="F1406" t="n">
        <v>26</v>
      </c>
      <c r="G1406" t="inlineStr">
        <is>
          <t>String Matching Algos</t>
        </is>
      </c>
      <c r="H1406" t="inlineStr">
        <is>
          <t>Implementary Problems</t>
        </is>
      </c>
      <c r="I1406" t="inlineStr">
        <is>
          <t>Leetcode</t>
        </is>
      </c>
      <c r="J1406" t="inlineStr">
        <is>
          <t>Problem</t>
        </is>
      </c>
    </row>
    <row r="1407">
      <c r="A1407" t="n">
        <v>684</v>
      </c>
      <c r="B1407" t="inlineStr">
        <is>
          <t>Shortest Palindrome</t>
        </is>
      </c>
      <c r="C1407">
        <f>HYPERLINK("https://leetcode.com/problems/shortest-palindrome/description/","shortest-palindrome")</f>
        <v/>
      </c>
      <c r="D1407" t="inlineStr">
        <is>
          <t>-</t>
        </is>
      </c>
      <c r="E1407" t="inlineStr">
        <is>
          <t>Hard</t>
        </is>
      </c>
      <c r="F1407" t="n">
        <v>26</v>
      </c>
      <c r="G1407" t="inlineStr">
        <is>
          <t>String Matching Algos</t>
        </is>
      </c>
      <c r="H1407" t="inlineStr">
        <is>
          <t>Implementary Problems</t>
        </is>
      </c>
      <c r="I1407" t="inlineStr">
        <is>
          <t>Leetcode</t>
        </is>
      </c>
      <c r="J1407" t="inlineStr">
        <is>
          <t>Problem</t>
        </is>
      </c>
    </row>
    <row r="1408">
      <c r="A1408" t="n">
        <v>142</v>
      </c>
      <c r="B1408" t="inlineStr">
        <is>
          <t>Distinct Echo Substrings</t>
        </is>
      </c>
      <c r="C1408">
        <f>HYPERLINK("https://leetcode.com/problems/distinct-echo-substrings/description/","distinct-echo-substrings")</f>
        <v/>
      </c>
      <c r="D1408" t="inlineStr">
        <is>
          <t>-</t>
        </is>
      </c>
      <c r="E1408" t="inlineStr">
        <is>
          <t>Hard</t>
        </is>
      </c>
      <c r="F1408" t="n">
        <v>26</v>
      </c>
      <c r="G1408" t="inlineStr">
        <is>
          <t>String Matching Algos</t>
        </is>
      </c>
      <c r="H1408" t="inlineStr">
        <is>
          <t>Implementary Problems</t>
        </is>
      </c>
      <c r="I1408" t="inlineStr">
        <is>
          <t>Leetcode</t>
        </is>
      </c>
      <c r="J1408" t="inlineStr">
        <is>
          <t>Problem</t>
        </is>
      </c>
    </row>
    <row r="1409">
      <c r="A1409" t="n">
        <v>256</v>
      </c>
      <c r="B1409" t="inlineStr">
        <is>
          <t>Longest Chunked Palindrome Decomposition</t>
        </is>
      </c>
      <c r="C1409">
        <f>HYPERLINK("https://leetcode.com/problems/longest-chunked-palindrome-decomposition/","longest-chunked-palindrome-decomposition")</f>
        <v/>
      </c>
      <c r="D1409" t="inlineStr">
        <is>
          <t>-</t>
        </is>
      </c>
      <c r="E1409" t="inlineStr">
        <is>
          <t>Hard</t>
        </is>
      </c>
      <c r="F1409" t="n">
        <v>26</v>
      </c>
      <c r="G1409" t="inlineStr">
        <is>
          <t>String Matching Algos</t>
        </is>
      </c>
      <c r="H1409" t="inlineStr">
        <is>
          <t>Implementary Problems</t>
        </is>
      </c>
      <c r="I1409" t="inlineStr">
        <is>
          <t>Leetcode</t>
        </is>
      </c>
      <c r="J1409" t="inlineStr">
        <is>
          <t>Problem</t>
        </is>
      </c>
    </row>
    <row r="1410">
      <c r="A1410" t="n">
        <v>336</v>
      </c>
      <c r="B1410" t="inlineStr">
        <is>
          <t>Maximum Product of the Length of Two Palindromic Substrings</t>
        </is>
      </c>
      <c r="C1410">
        <f>HYPERLINK("https://leetcode.com/problems/maximum-product-of-the-length-of-two-palindromic-substrings/description/","maximum-product-of-the-length-of-two-palindromic-substrings")</f>
        <v/>
      </c>
      <c r="D1410" t="inlineStr">
        <is>
          <t>-</t>
        </is>
      </c>
      <c r="E1410" t="inlineStr">
        <is>
          <t>Hard</t>
        </is>
      </c>
      <c r="F1410" t="n">
        <v>26</v>
      </c>
      <c r="G1410" t="inlineStr">
        <is>
          <t>String Matching Algos</t>
        </is>
      </c>
      <c r="H1410" t="inlineStr">
        <is>
          <t>Implementary Problems</t>
        </is>
      </c>
      <c r="I1410" t="inlineStr">
        <is>
          <t>Leetcode</t>
        </is>
      </c>
      <c r="J1410" t="inlineStr">
        <is>
          <t>Problem</t>
        </is>
      </c>
    </row>
    <row r="1411">
      <c r="A1411" t="n">
        <v>258</v>
      </c>
      <c r="B1411" t="inlineStr">
        <is>
          <t>Longest Duplicate Substring</t>
        </is>
      </c>
      <c r="C1411">
        <f>HYPERLINK("https://leetcode.com/problems/longest-duplicate-substring/description/","longest-duplicate-substring")</f>
        <v/>
      </c>
      <c r="D1411" t="inlineStr">
        <is>
          <t>-</t>
        </is>
      </c>
      <c r="E1411" t="inlineStr">
        <is>
          <t>Hard</t>
        </is>
      </c>
      <c r="F1411" t="n">
        <v>26</v>
      </c>
      <c r="G1411" t="inlineStr">
        <is>
          <t>String Matching Algos</t>
        </is>
      </c>
      <c r="H1411" t="inlineStr">
        <is>
          <t>Implementary Problems</t>
        </is>
      </c>
      <c r="I1411" t="inlineStr">
        <is>
          <t>Leetcode</t>
        </is>
      </c>
      <c r="J1411" t="inlineStr">
        <is>
          <t>Problem</t>
        </is>
      </c>
    </row>
    <row r="1412">
      <c r="A1412" t="n">
        <v>946</v>
      </c>
      <c r="B1412" t="inlineStr">
        <is>
          <t>Alternating Groups III</t>
        </is>
      </c>
      <c r="C1412">
        <f>HYPERLINK("https://leetcode.com/problems/alternating-groups-iii/description/","alternating-groups-iii")</f>
        <v/>
      </c>
      <c r="D1412" t="inlineStr">
        <is>
          <t>-</t>
        </is>
      </c>
      <c r="E1412" t="inlineStr">
        <is>
          <t>Medium</t>
        </is>
      </c>
      <c r="F1412" t="n">
        <v>27</v>
      </c>
      <c r="G1412" t="inlineStr">
        <is>
          <t>Advance algorithm</t>
        </is>
      </c>
      <c r="H1412" t="inlineStr">
        <is>
          <t>Fenwick Tree</t>
        </is>
      </c>
      <c r="I1412" t="inlineStr">
        <is>
          <t>Leetcode</t>
        </is>
      </c>
      <c r="J1412" t="inlineStr">
        <is>
          <t>Problem</t>
        </is>
      </c>
    </row>
    <row r="1413">
      <c r="A1413" t="n">
        <v>562</v>
      </c>
      <c r="B1413" t="inlineStr">
        <is>
          <t>Number of Pairs Satisfying Inequality</t>
        </is>
      </c>
      <c r="C1413">
        <f>HYPERLINK("https://leetcode.com/problems/number-of-pairs-satisfying-inequality/description/","number-of-pairs-satisfying-inequality")</f>
        <v/>
      </c>
      <c r="D1413" t="inlineStr">
        <is>
          <t>-</t>
        </is>
      </c>
      <c r="E1413" t="inlineStr">
        <is>
          <t>Hard</t>
        </is>
      </c>
      <c r="F1413" t="n">
        <v>27</v>
      </c>
      <c r="G1413" t="inlineStr">
        <is>
          <t>Advance algorithm</t>
        </is>
      </c>
      <c r="H1413" t="inlineStr">
        <is>
          <t>Fenwick Tree</t>
        </is>
      </c>
      <c r="I1413" t="inlineStr">
        <is>
          <t>Leetcode</t>
        </is>
      </c>
      <c r="J1413" t="inlineStr">
        <is>
          <t>Problem</t>
        </is>
      </c>
    </row>
    <row r="1414">
      <c r="A1414" t="n">
        <v>435</v>
      </c>
      <c r="B1414" t="inlineStr">
        <is>
          <t>Count Good Triplets in an Array</t>
        </is>
      </c>
      <c r="C1414">
        <f>HYPERLINK("https://leetcode.com/problems/count-good-triplets-in-an-array/description/","count-good-triplets-in-an-array")</f>
        <v/>
      </c>
      <c r="D1414" t="inlineStr">
        <is>
          <t>-</t>
        </is>
      </c>
      <c r="E1414" t="inlineStr">
        <is>
          <t>Hard</t>
        </is>
      </c>
      <c r="F1414" t="n">
        <v>27</v>
      </c>
      <c r="G1414" t="inlineStr">
        <is>
          <t>Advance algorithm</t>
        </is>
      </c>
      <c r="H1414" t="inlineStr">
        <is>
          <t>Fenwick Tree</t>
        </is>
      </c>
      <c r="I1414" t="inlineStr">
        <is>
          <t>Leetcode</t>
        </is>
      </c>
      <c r="J1414" t="inlineStr">
        <is>
          <t>Problem</t>
        </is>
      </c>
    </row>
    <row r="1415">
      <c r="A1415" t="n">
        <v>947</v>
      </c>
      <c r="B1415" t="inlineStr">
        <is>
          <t>Booking Concert Tickets in Groups</t>
        </is>
      </c>
      <c r="C1415">
        <f>HYPERLINK("https://leetcode.com/problems/booking-concert-tickets-in-groups/description/","booking-concert-tickets-in-groups")</f>
        <v/>
      </c>
      <c r="D1415" t="inlineStr">
        <is>
          <t>-</t>
        </is>
      </c>
      <c r="E1415" t="inlineStr">
        <is>
          <t>Hard</t>
        </is>
      </c>
      <c r="F1415" t="n">
        <v>27</v>
      </c>
      <c r="G1415" t="inlineStr">
        <is>
          <t>Advance algorithm</t>
        </is>
      </c>
      <c r="H1415" t="inlineStr">
        <is>
          <t>Fenwick Tree</t>
        </is>
      </c>
      <c r="I1415" t="inlineStr">
        <is>
          <t>Leetcode</t>
        </is>
      </c>
      <c r="J1415" t="inlineStr">
        <is>
          <t>Problem</t>
        </is>
      </c>
    </row>
    <row r="1416">
      <c r="A1416" t="n">
        <v>958</v>
      </c>
      <c r="B1416" t="inlineStr">
        <is>
          <t>Longest Uploaded Prefix</t>
        </is>
      </c>
      <c r="C1416">
        <f>HYPERLINK("https://leetcode.com/problems/longest-uploaded-prefix/description/","longest-uploaded-prefix")</f>
        <v/>
      </c>
      <c r="D1416" t="inlineStr">
        <is>
          <t>-</t>
        </is>
      </c>
      <c r="E1416" t="inlineStr">
        <is>
          <t>Medium</t>
        </is>
      </c>
      <c r="F1416" t="n">
        <v>27</v>
      </c>
      <c r="G1416" t="inlineStr">
        <is>
          <t>Advance algorithm</t>
        </is>
      </c>
      <c r="H1416" t="inlineStr">
        <is>
          <t>Segment Tree</t>
        </is>
      </c>
      <c r="I1416" t="inlineStr">
        <is>
          <t>Leetcode</t>
        </is>
      </c>
      <c r="J1416" t="inlineStr">
        <is>
          <t>Problem</t>
        </is>
      </c>
    </row>
    <row r="1417">
      <c r="A1417" t="n">
        <v>1019</v>
      </c>
      <c r="B1417" t="inlineStr">
        <is>
          <t>Range Sum Query - Mutable</t>
        </is>
      </c>
      <c r="C1417">
        <f>HYPERLINK("https://leetcode.com/problems/range-sum-query-mutable/description/","range-sum-query-mutable")</f>
        <v/>
      </c>
      <c r="D1417" t="inlineStr">
        <is>
          <t>-</t>
        </is>
      </c>
      <c r="E1417" t="inlineStr">
        <is>
          <t>Medium</t>
        </is>
      </c>
      <c r="F1417" t="n">
        <v>27</v>
      </c>
      <c r="G1417" t="inlineStr">
        <is>
          <t>Advance algorithm</t>
        </is>
      </c>
      <c r="H1417" t="inlineStr">
        <is>
          <t>Segment Tree</t>
        </is>
      </c>
      <c r="I1417" t="inlineStr">
        <is>
          <t>Leetcode</t>
        </is>
      </c>
      <c r="J1417" t="inlineStr">
        <is>
          <t>Problem</t>
        </is>
      </c>
    </row>
    <row r="1418">
      <c r="A1418" t="n">
        <v>897</v>
      </c>
      <c r="B1418" t="inlineStr">
        <is>
          <t>Falling Squares</t>
        </is>
      </c>
      <c r="C1418">
        <f>HYPERLINK("https://leetcode.com/problems/falling-squares/description/","falling-squares")</f>
        <v/>
      </c>
      <c r="D1418" t="inlineStr">
        <is>
          <t>-</t>
        </is>
      </c>
      <c r="E1418" t="inlineStr">
        <is>
          <t>Hard</t>
        </is>
      </c>
      <c r="F1418" t="n">
        <v>27</v>
      </c>
      <c r="G1418" t="inlineStr">
        <is>
          <t>Advance algorithm</t>
        </is>
      </c>
      <c r="H1418" t="inlineStr">
        <is>
          <t>Segment Tree</t>
        </is>
      </c>
      <c r="I1418" t="inlineStr">
        <is>
          <t>Leetcode</t>
        </is>
      </c>
      <c r="J1418" t="inlineStr">
        <is>
          <t>Problem</t>
        </is>
      </c>
    </row>
    <row r="1419">
      <c r="A1419" t="n">
        <v>971</v>
      </c>
      <c r="B1419" t="inlineStr">
        <is>
          <t>Range Module</t>
        </is>
      </c>
      <c r="C1419">
        <f>HYPERLINK("https://leetcode.com/problems/range-module/description/","range-module")</f>
        <v/>
      </c>
      <c r="D1419" t="inlineStr">
        <is>
          <t>-</t>
        </is>
      </c>
      <c r="E1419" t="inlineStr">
        <is>
          <t>Hard</t>
        </is>
      </c>
      <c r="F1419" t="n">
        <v>27</v>
      </c>
      <c r="G1419" t="inlineStr">
        <is>
          <t>Advance algorithm</t>
        </is>
      </c>
      <c r="H1419" t="inlineStr">
        <is>
          <t>Segment Tree</t>
        </is>
      </c>
      <c r="I1419" t="inlineStr">
        <is>
          <t>Leetcode</t>
        </is>
      </c>
      <c r="J1419" t="inlineStr">
        <is>
          <t>Problem</t>
        </is>
      </c>
    </row>
    <row r="1420">
      <c r="A1420" t="n">
        <v>111</v>
      </c>
      <c r="B1420" t="inlineStr">
        <is>
          <t>Count of Range Sum</t>
        </is>
      </c>
      <c r="C1420">
        <f>HYPERLINK("https://leetcode.com/problems/count-of-range-sum","count-of-range-sum")</f>
        <v/>
      </c>
      <c r="D1420" t="inlineStr">
        <is>
          <t>-</t>
        </is>
      </c>
      <c r="E1420" t="inlineStr">
        <is>
          <t>Hard</t>
        </is>
      </c>
      <c r="F1420" t="n">
        <v>27</v>
      </c>
      <c r="G1420" t="inlineStr">
        <is>
          <t>Advance algorithm</t>
        </is>
      </c>
      <c r="H1420" t="inlineStr">
        <is>
          <t>Segment Tree</t>
        </is>
      </c>
      <c r="I1420" t="inlineStr">
        <is>
          <t>Leetcode</t>
        </is>
      </c>
      <c r="J1420" t="inlineStr">
        <is>
          <t>Problem</t>
        </is>
      </c>
    </row>
    <row r="1421">
      <c r="A1421" t="n">
        <v>918</v>
      </c>
      <c r="B1421" t="inlineStr">
        <is>
          <t>Longest Substring of One Repeating Character</t>
        </is>
      </c>
      <c r="C1421">
        <f>HYPERLINK("https://leetcode.com/problems/longest-substring-of-one-repeating-character/description/","longest-substring-of-one-repeating-character")</f>
        <v/>
      </c>
      <c r="D1421" t="inlineStr">
        <is>
          <t>-</t>
        </is>
      </c>
      <c r="E1421" t="inlineStr">
        <is>
          <t>Hard</t>
        </is>
      </c>
      <c r="F1421" t="n">
        <v>27</v>
      </c>
      <c r="G1421" t="inlineStr">
        <is>
          <t>Advance algorithm</t>
        </is>
      </c>
      <c r="H1421" t="inlineStr">
        <is>
          <t>Segment Tree</t>
        </is>
      </c>
      <c r="I1421" t="inlineStr">
        <is>
          <t>Leetcode</t>
        </is>
      </c>
      <c r="J1421" t="inlineStr">
        <is>
          <t>Problem</t>
        </is>
      </c>
    </row>
    <row r="1422">
      <c r="A1422" t="n">
        <v>927</v>
      </c>
      <c r="B1422" t="inlineStr">
        <is>
          <t>Maximum Sum Queries</t>
        </is>
      </c>
      <c r="C1422">
        <f>HYPERLINK("https://leetcode.com/problems/maximum-sum-queries/description/","maximum-sum-queries")</f>
        <v/>
      </c>
      <c r="D1422" t="inlineStr">
        <is>
          <t>-</t>
        </is>
      </c>
      <c r="E1422" t="inlineStr">
        <is>
          <t>Hard</t>
        </is>
      </c>
      <c r="F1422" t="n">
        <v>27</v>
      </c>
      <c r="G1422" t="inlineStr">
        <is>
          <t>Advance algorithm</t>
        </is>
      </c>
      <c r="H1422" t="inlineStr">
        <is>
          <t>Segment Tree</t>
        </is>
      </c>
      <c r="I1422" t="inlineStr">
        <is>
          <t>Leetcode</t>
        </is>
      </c>
      <c r="J1422" t="inlineStr">
        <is>
          <t>Problem</t>
        </is>
      </c>
    </row>
    <row r="1423">
      <c r="A1423" t="n">
        <v>996</v>
      </c>
      <c r="B1423" t="inlineStr">
        <is>
          <t>Handling Sum Queries After Update</t>
        </is>
      </c>
      <c r="C1423">
        <f>HYPERLINK("https://leetcode.com/problems/handling-sum-queries-after-update/description/","handling-sum-queries-after-update")</f>
        <v/>
      </c>
      <c r="D1423" t="inlineStr">
        <is>
          <t>-</t>
        </is>
      </c>
      <c r="E1423" t="inlineStr">
        <is>
          <t>Hard</t>
        </is>
      </c>
      <c r="F1423" t="n">
        <v>27</v>
      </c>
      <c r="G1423" t="inlineStr">
        <is>
          <t>Advance algorithm</t>
        </is>
      </c>
      <c r="H1423" t="inlineStr">
        <is>
          <t>Segment Tree</t>
        </is>
      </c>
      <c r="I1423" t="inlineStr">
        <is>
          <t>Leetcode</t>
        </is>
      </c>
      <c r="J1423" t="inlineStr">
        <is>
          <t>Problem</t>
        </is>
      </c>
    </row>
    <row r="1424">
      <c r="A1424" t="n">
        <v>970</v>
      </c>
      <c r="B1424" t="inlineStr">
        <is>
          <t>Peaks in Array</t>
        </is>
      </c>
      <c r="C1424">
        <f>HYPERLINK("https://leetcode.com/problems/peaks-in-array/description/","peaks-in-array")</f>
        <v/>
      </c>
      <c r="D1424" t="inlineStr">
        <is>
          <t>-</t>
        </is>
      </c>
      <c r="E1424" t="inlineStr">
        <is>
          <t>Hard</t>
        </is>
      </c>
      <c r="F1424" t="n">
        <v>27</v>
      </c>
      <c r="G1424" t="inlineStr">
        <is>
          <t>Advance algorithm</t>
        </is>
      </c>
      <c r="H1424" t="inlineStr">
        <is>
          <t>Segment Tree</t>
        </is>
      </c>
      <c r="I1424" t="inlineStr">
        <is>
          <t>Leetcode</t>
        </is>
      </c>
      <c r="J1424" t="inlineStr">
        <is>
          <t>Problem</t>
        </is>
      </c>
    </row>
    <row r="1425">
      <c r="A1425" t="n">
        <v>999</v>
      </c>
      <c r="B1425" t="inlineStr">
        <is>
          <t>Maximum Sum of Subsequence With Non-Adjacent Elements</t>
        </is>
      </c>
      <c r="C1425">
        <f>HYPERLINK("https://leetcode.com/problems/maximum-sum-of-subsequence-with-non-adjacent-elements/description/","maximum-sum-of-subsequence-with-non-adjacent-elements")</f>
        <v/>
      </c>
      <c r="D1425" t="inlineStr">
        <is>
          <t>-</t>
        </is>
      </c>
      <c r="E1425" t="inlineStr">
        <is>
          <t>Hard</t>
        </is>
      </c>
      <c r="F1425" t="n">
        <v>27</v>
      </c>
      <c r="G1425" t="inlineStr">
        <is>
          <t>Advance algorithm</t>
        </is>
      </c>
      <c r="H1425" t="inlineStr">
        <is>
          <t>Segment Tree</t>
        </is>
      </c>
      <c r="I1425" t="inlineStr">
        <is>
          <t>Leetcode</t>
        </is>
      </c>
      <c r="J1425" t="inlineStr">
        <is>
          <t>Problem</t>
        </is>
      </c>
    </row>
    <row r="1426">
      <c r="A1426" t="n">
        <v>1017</v>
      </c>
      <c r="B1426" t="inlineStr">
        <is>
          <t>Block Placement Queries</t>
        </is>
      </c>
      <c r="C1426">
        <f>HYPERLINK("https://leetcode.com/problems/block-placement-queries/description/","block-placement-queries")</f>
        <v/>
      </c>
      <c r="D1426" t="inlineStr">
        <is>
          <t>-</t>
        </is>
      </c>
      <c r="E1426" t="inlineStr">
        <is>
          <t>Hard</t>
        </is>
      </c>
      <c r="F1426" t="n">
        <v>27</v>
      </c>
      <c r="G1426" t="inlineStr">
        <is>
          <t>Advance algorithm</t>
        </is>
      </c>
      <c r="H1426" t="inlineStr">
        <is>
          <t>Segment Tree</t>
        </is>
      </c>
      <c r="I1426" t="inlineStr">
        <is>
          <t>Leetcode</t>
        </is>
      </c>
      <c r="J1426" t="inlineStr">
        <is>
          <t>Problem</t>
        </is>
      </c>
    </row>
    <row r="1427">
      <c r="A1427" t="n">
        <v>1534</v>
      </c>
      <c r="B1427" t="inlineStr">
        <is>
          <t>Range Minimum Query</t>
        </is>
      </c>
      <c r="C1427">
        <f>HYPERLINK("https://www.spoj.com/problems/RMQSQ/","Solve Problem")</f>
        <v/>
      </c>
      <c r="D1427" t="inlineStr">
        <is>
          <t>-</t>
        </is>
      </c>
      <c r="E1427" t="inlineStr">
        <is>
          <t>Hard</t>
        </is>
      </c>
      <c r="F1427" t="n">
        <v>27</v>
      </c>
      <c r="G1427" t="inlineStr">
        <is>
          <t>Advance algorithm</t>
        </is>
      </c>
      <c r="H1427" t="inlineStr">
        <is>
          <t>Sparse Table</t>
        </is>
      </c>
      <c r="I1427" t="inlineStr">
        <is>
          <t>Spoj</t>
        </is>
      </c>
      <c r="J1427" t="inlineStr">
        <is>
          <t>Problem</t>
        </is>
      </c>
    </row>
    <row r="1428">
      <c r="A1428" t="n">
        <v>1380</v>
      </c>
      <c r="B1428" t="inlineStr">
        <is>
          <t>Catapult that ball</t>
        </is>
      </c>
      <c r="C1428">
        <f>HYPERLINK("http://www.spoj.com/problems/THRBL/","Solve Problem")</f>
        <v/>
      </c>
      <c r="D1428" t="inlineStr">
        <is>
          <t>-</t>
        </is>
      </c>
      <c r="E1428" t="inlineStr">
        <is>
          <t>Hard</t>
        </is>
      </c>
      <c r="F1428" t="n">
        <v>27</v>
      </c>
      <c r="G1428" t="inlineStr">
        <is>
          <t>Advance algorithm</t>
        </is>
      </c>
      <c r="H1428" t="inlineStr">
        <is>
          <t>Sparse Table</t>
        </is>
      </c>
      <c r="I1428" t="inlineStr">
        <is>
          <t>Spoj</t>
        </is>
      </c>
      <c r="J1428" t="inlineStr">
        <is>
          <t>Problem</t>
        </is>
      </c>
    </row>
    <row r="1429">
      <c r="A1429" t="n">
        <v>1381</v>
      </c>
      <c r="B1429" t="inlineStr">
        <is>
          <t>Miraculous</t>
        </is>
      </c>
      <c r="C1429">
        <f>HYPERLINK("http://www.spoj.com/problems/TNVFC1M/","Solve Problem")</f>
        <v/>
      </c>
      <c r="D1429" t="inlineStr">
        <is>
          <t>-</t>
        </is>
      </c>
      <c r="E1429" t="inlineStr">
        <is>
          <t>Hard</t>
        </is>
      </c>
      <c r="F1429" t="n">
        <v>27</v>
      </c>
      <c r="G1429" t="inlineStr">
        <is>
          <t>Advance algorithm</t>
        </is>
      </c>
      <c r="H1429" t="inlineStr">
        <is>
          <t>Sparse Table</t>
        </is>
      </c>
      <c r="I1429" t="inlineStr">
        <is>
          <t>Spoj</t>
        </is>
      </c>
      <c r="J1429" t="inlineStr">
        <is>
          <t>Problem</t>
        </is>
      </c>
    </row>
    <row r="1430">
      <c r="A1430" t="n">
        <v>1376</v>
      </c>
      <c r="B1430" t="inlineStr">
        <is>
          <t>Negative Score</t>
        </is>
      </c>
      <c r="C1430">
        <f>HYPERLINK("http://www.spoj.com/problems/RPLN/","Solve Problem")</f>
        <v/>
      </c>
      <c r="D1430" t="inlineStr">
        <is>
          <t>-</t>
        </is>
      </c>
      <c r="E1430" t="inlineStr">
        <is>
          <t>Hard</t>
        </is>
      </c>
      <c r="F1430" t="n">
        <v>27</v>
      </c>
      <c r="G1430" t="inlineStr">
        <is>
          <t>Advance algorithm</t>
        </is>
      </c>
      <c r="H1430" t="inlineStr">
        <is>
          <t>Sparse Table</t>
        </is>
      </c>
      <c r="I1430" t="inlineStr">
        <is>
          <t>Spoj</t>
        </is>
      </c>
      <c r="J1430" t="inlineStr">
        <is>
          <t>Problem</t>
        </is>
      </c>
    </row>
    <row r="1431">
      <c r="A1431" t="n">
        <v>1532</v>
      </c>
      <c r="B1431" t="inlineStr">
        <is>
          <t>DIFERENCIJA</t>
        </is>
      </c>
      <c r="C1431">
        <f>HYPERLINK("https://www.spoj.com/problems/DIFERENC/","Solve Problem")</f>
        <v/>
      </c>
      <c r="D1431" t="inlineStr">
        <is>
          <t>-</t>
        </is>
      </c>
      <c r="E1431" t="inlineStr">
        <is>
          <t>Hard</t>
        </is>
      </c>
      <c r="F1431" t="n">
        <v>27</v>
      </c>
      <c r="G1431" t="inlineStr">
        <is>
          <t>Advance algorithm</t>
        </is>
      </c>
      <c r="H1431" t="inlineStr">
        <is>
          <t>Sparse Table</t>
        </is>
      </c>
      <c r="I1431" t="inlineStr">
        <is>
          <t>Spoj</t>
        </is>
      </c>
      <c r="J1431" t="inlineStr">
        <is>
          <t>Problem</t>
        </is>
      </c>
    </row>
    <row r="1432">
      <c r="A1432" t="n">
        <v>898</v>
      </c>
      <c r="B1432" t="inlineStr">
        <is>
          <t>Find a Value of a Mysterious Function Closest to Target</t>
        </is>
      </c>
      <c r="C1432">
        <f>HYPERLINK("https://leetcode.com/problems/find-a-value-of-a-mysterious-function-closest-to-target/","find-a-value-of-a-mysterious-function-closest-to-target")</f>
        <v/>
      </c>
      <c r="D1432" t="inlineStr">
        <is>
          <t>-</t>
        </is>
      </c>
      <c r="E1432" t="inlineStr">
        <is>
          <t>Hard</t>
        </is>
      </c>
      <c r="F1432" t="n">
        <v>27</v>
      </c>
      <c r="G1432" t="inlineStr">
        <is>
          <t>Advance algorithm</t>
        </is>
      </c>
      <c r="H1432" t="inlineStr">
        <is>
          <t>Sparse Table</t>
        </is>
      </c>
      <c r="I1432" t="inlineStr">
        <is>
          <t>Leetcode</t>
        </is>
      </c>
      <c r="J1432" t="inlineStr">
        <is>
          <t>Problem</t>
        </is>
      </c>
    </row>
    <row r="1433">
      <c r="A1433" t="n">
        <v>924</v>
      </c>
      <c r="B1433" t="inlineStr">
        <is>
          <t>Maximum Binary Tree</t>
        </is>
      </c>
      <c r="C1433">
        <f>HYPERLINK("https://leetcode.com/problems/maximum-binary-tree/description/","maximum-binary-tree")</f>
        <v/>
      </c>
      <c r="D1433" t="inlineStr">
        <is>
          <t>-</t>
        </is>
      </c>
      <c r="E1433" t="inlineStr">
        <is>
          <t>Hard</t>
        </is>
      </c>
      <c r="F1433" t="n">
        <v>27</v>
      </c>
      <c r="G1433" t="inlineStr">
        <is>
          <t>Advance algorithm</t>
        </is>
      </c>
      <c r="H1433" t="inlineStr">
        <is>
          <t>Sparse Table</t>
        </is>
      </c>
      <c r="I1433" t="inlineStr">
        <is>
          <t>Leetcode</t>
        </is>
      </c>
      <c r="J1433" t="inlineStr">
        <is>
          <t>Problem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0" customWidth="1" min="2" max="2"/>
    <col width="16" customWidth="1" min="3" max="3"/>
    <col width="18" customWidth="1" min="4" max="4"/>
  </cols>
  <sheetData>
    <row r="1">
      <c r="A1" s="3" t="inlineStr">
        <is>
          <t>Module #</t>
        </is>
      </c>
      <c r="B1" s="3" t="inlineStr">
        <is>
          <t>Module Name</t>
        </is>
      </c>
      <c r="C1" s="3" t="inlineStr">
        <is>
          <t>Total Problems</t>
        </is>
      </c>
      <c r="D1" s="3" t="inlineStr">
        <is>
          <t>Submodules Count</t>
        </is>
      </c>
    </row>
    <row r="2">
      <c r="A2" t="n">
        <v>1</v>
      </c>
      <c r="B2" t="inlineStr">
        <is>
          <t>Programming Fundamentals</t>
        </is>
      </c>
      <c r="C2" t="n">
        <v>76</v>
      </c>
      <c r="D2" t="n">
        <v>2</v>
      </c>
    </row>
    <row r="3">
      <c r="A3" t="n">
        <v>2</v>
      </c>
      <c r="B3" t="inlineStr">
        <is>
          <t>Time and Space Complexity / Online Judge</t>
        </is>
      </c>
      <c r="C3" t="n">
        <v>9</v>
      </c>
      <c r="D3" t="n">
        <v>2</v>
      </c>
    </row>
    <row r="4">
      <c r="A4" t="n">
        <v>3</v>
      </c>
      <c r="B4" t="inlineStr">
        <is>
          <t>Dsa Fundamentals</t>
        </is>
      </c>
      <c r="C4" t="n">
        <v>100</v>
      </c>
      <c r="D4" t="n">
        <v>6</v>
      </c>
    </row>
    <row r="5">
      <c r="A5" t="n">
        <v>4</v>
      </c>
      <c r="B5" t="inlineStr">
        <is>
          <t>Sorting</t>
        </is>
      </c>
      <c r="C5" t="n">
        <v>33</v>
      </c>
      <c r="D5" t="n">
        <v>10</v>
      </c>
    </row>
    <row r="6">
      <c r="A6" t="n">
        <v>5</v>
      </c>
      <c r="B6" t="inlineStr">
        <is>
          <t>2 Pointers</t>
        </is>
      </c>
      <c r="C6" t="n">
        <v>39</v>
      </c>
      <c r="D6" t="n">
        <v>2</v>
      </c>
    </row>
    <row r="7">
      <c r="A7" t="n">
        <v>6</v>
      </c>
      <c r="B7" t="inlineStr">
        <is>
          <t>Prefix Sum</t>
        </is>
      </c>
      <c r="C7" t="n">
        <v>24</v>
      </c>
      <c r="D7" t="n">
        <v>2</v>
      </c>
    </row>
    <row r="8">
      <c r="A8" t="n">
        <v>7</v>
      </c>
      <c r="B8" t="inlineStr">
        <is>
          <t>Matrix</t>
        </is>
      </c>
      <c r="C8" t="n">
        <v>44</v>
      </c>
      <c r="D8" t="n">
        <v>3</v>
      </c>
    </row>
    <row r="9">
      <c r="A9" t="n">
        <v>8</v>
      </c>
      <c r="B9" t="inlineStr">
        <is>
          <t>Hashing</t>
        </is>
      </c>
      <c r="C9" t="n">
        <v>92</v>
      </c>
      <c r="D9" t="n">
        <v>2</v>
      </c>
    </row>
    <row r="10">
      <c r="A10" t="n">
        <v>9</v>
      </c>
      <c r="B10" t="inlineStr">
        <is>
          <t>Sliding Window</t>
        </is>
      </c>
      <c r="C10" t="n">
        <v>37</v>
      </c>
      <c r="D10" t="n">
        <v>2</v>
      </c>
    </row>
    <row r="11">
      <c r="A11" t="n">
        <v>10</v>
      </c>
      <c r="B11" t="inlineStr">
        <is>
          <t>Linked List</t>
        </is>
      </c>
      <c r="C11" t="n">
        <v>29</v>
      </c>
      <c r="D11" t="n">
        <v>2</v>
      </c>
    </row>
    <row r="12">
      <c r="A12" t="n">
        <v>11</v>
      </c>
      <c r="B12" t="inlineStr">
        <is>
          <t>Stack</t>
        </is>
      </c>
      <c r="C12" t="n">
        <v>57</v>
      </c>
      <c r="D12" t="n">
        <v>4</v>
      </c>
    </row>
    <row r="13">
      <c r="A13" t="n">
        <v>12</v>
      </c>
      <c r="B13" t="inlineStr">
        <is>
          <t>Queue</t>
        </is>
      </c>
      <c r="C13" t="n">
        <v>25</v>
      </c>
      <c r="D13" t="n">
        <v>3</v>
      </c>
    </row>
    <row r="14">
      <c r="A14" t="n">
        <v>13</v>
      </c>
      <c r="B14" t="inlineStr">
        <is>
          <t>Binary Search</t>
        </is>
      </c>
      <c r="C14" t="n">
        <v>83</v>
      </c>
      <c r="D14" t="n">
        <v>8</v>
      </c>
    </row>
    <row r="15">
      <c r="A15" t="n">
        <v>14</v>
      </c>
      <c r="B15" t="inlineStr">
        <is>
          <t>Bit Manipulation</t>
        </is>
      </c>
      <c r="C15" t="n">
        <v>47</v>
      </c>
      <c r="D15" t="n">
        <v>4</v>
      </c>
    </row>
    <row r="16">
      <c r="A16" t="n">
        <v>15</v>
      </c>
      <c r="B16" t="inlineStr">
        <is>
          <t>Recursion &amp; Backtracking</t>
        </is>
      </c>
      <c r="C16" t="n">
        <v>40</v>
      </c>
      <c r="D16" t="n">
        <v>5</v>
      </c>
    </row>
    <row r="17">
      <c r="A17" t="n">
        <v>16</v>
      </c>
      <c r="B17" t="inlineStr">
        <is>
          <t>Binary Tree</t>
        </is>
      </c>
      <c r="C17" t="n">
        <v>50</v>
      </c>
      <c r="D17" t="n">
        <v>7</v>
      </c>
    </row>
    <row r="18">
      <c r="A18" t="n">
        <v>17</v>
      </c>
      <c r="B18" t="inlineStr">
        <is>
          <t>Binary Search Tree</t>
        </is>
      </c>
      <c r="C18" t="n">
        <v>28</v>
      </c>
      <c r="D18" t="n">
        <v>3</v>
      </c>
    </row>
    <row r="19">
      <c r="A19" t="n">
        <v>18</v>
      </c>
      <c r="B19" t="inlineStr">
        <is>
          <t>Heap (Priority Queue)</t>
        </is>
      </c>
      <c r="C19" t="n">
        <v>75</v>
      </c>
      <c r="D19" t="n">
        <v>6</v>
      </c>
    </row>
    <row r="20">
      <c r="A20" t="n">
        <v>19</v>
      </c>
      <c r="B20" t="inlineStr">
        <is>
          <t>Tries</t>
        </is>
      </c>
      <c r="C20" t="n">
        <v>32</v>
      </c>
      <c r="D20" t="n">
        <v>5</v>
      </c>
    </row>
    <row r="21">
      <c r="A21" t="n">
        <v>20</v>
      </c>
      <c r="B21" t="inlineStr">
        <is>
          <t>Greedy</t>
        </is>
      </c>
      <c r="C21" t="n">
        <v>58</v>
      </c>
      <c r="D21" t="n">
        <v>2</v>
      </c>
    </row>
    <row r="22">
      <c r="A22" t="n">
        <v>21</v>
      </c>
      <c r="B22" t="inlineStr">
        <is>
          <t>Dynamic Programming Level 1</t>
        </is>
      </c>
      <c r="C22" t="n">
        <v>166</v>
      </c>
      <c r="D22" t="n">
        <v>10</v>
      </c>
    </row>
    <row r="23">
      <c r="A23" t="n">
        <v>22</v>
      </c>
      <c r="B23" t="inlineStr">
        <is>
          <t>Graphs</t>
        </is>
      </c>
      <c r="C23" t="n">
        <v>122</v>
      </c>
      <c r="D23" t="n">
        <v>12</v>
      </c>
    </row>
    <row r="24">
      <c r="A24" t="n">
        <v>23</v>
      </c>
      <c r="B24" t="inlineStr">
        <is>
          <t>Combinatorics &amp; Geometry</t>
        </is>
      </c>
      <c r="C24" t="n">
        <v>36</v>
      </c>
      <c r="D24" t="n">
        <v>4</v>
      </c>
    </row>
    <row r="25">
      <c r="A25" t="n">
        <v>24</v>
      </c>
      <c r="B25" t="inlineStr">
        <is>
          <t>Game Theory</t>
        </is>
      </c>
      <c r="C25" t="n">
        <v>25</v>
      </c>
      <c r="D25" t="n">
        <v>3</v>
      </c>
    </row>
    <row r="26">
      <c r="A26" t="n">
        <v>25</v>
      </c>
      <c r="B26" t="inlineStr">
        <is>
          <t>Dynamic Programming Level 2</t>
        </is>
      </c>
      <c r="C26" t="n">
        <v>64</v>
      </c>
      <c r="D26" t="n">
        <v>5</v>
      </c>
    </row>
    <row r="27">
      <c r="A27" t="n">
        <v>26</v>
      </c>
      <c r="B27" t="inlineStr">
        <is>
          <t>String Matching Algos</t>
        </is>
      </c>
      <c r="C27" t="n">
        <v>19</v>
      </c>
      <c r="D27" t="n">
        <v>2</v>
      </c>
    </row>
    <row r="28">
      <c r="A28" t="n">
        <v>27</v>
      </c>
      <c r="B28" t="inlineStr">
        <is>
          <t>Advance algorithm</t>
        </is>
      </c>
      <c r="C28" t="n">
        <v>22</v>
      </c>
      <c r="D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2026-10-15T12:05:54Z</dcterms:created>
  <dcterms:modified xmlns:dcterms="http://purl.org/dc/terms/" xmlns:xsi="http://www.w3.org/2001/XMLSchema-instance" xsi:type="dcterms:W3CDTF">2026-10-15T12:05:54Z</dcterms:modified>
</cp:coreProperties>
</file>